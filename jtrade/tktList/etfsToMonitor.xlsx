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01"/>
  <workbookPr defaultThemeVersion="202300"/>
  <mc:AlternateContent xmlns:mc="http://schemas.openxmlformats.org/markup-compatibility/2006">
    <mc:Choice Requires="x15">
      <x15ac:absPath xmlns:x15ac="http://schemas.microsoft.com/office/spreadsheetml/2010/11/ac" url="C:\Users\jeron\Google Drive\trading\kirk\"/>
    </mc:Choice>
  </mc:AlternateContent>
  <xr:revisionPtr revIDLastSave="0" documentId="13_ncr:1_{8E497147-8C45-4ECD-84D8-4FC56C7AD836}" xr6:coauthVersionLast="47" xr6:coauthVersionMax="47" xr10:uidLastSave="{00000000-0000-0000-0000-000000000000}"/>
  <bookViews>
    <workbookView xWindow="30" yWindow="30" windowWidth="28770" windowHeight="15720" tabRatio="944" activeTab="3" xr2:uid="{C2CBD369-E3C3-4850-AF40-1C6F4310D1D9}"/>
  </bookViews>
  <sheets>
    <sheet name="MainMetrics" sheetId="18" r:id="rId1"/>
    <sheet name="indexes" sheetId="1" r:id="rId2"/>
    <sheet name="spSectors" sheetId="2" r:id="rId3"/>
    <sheet name="industries" sheetId="3" r:id="rId4"/>
    <sheet name="spFactors" sheetId="4" r:id="rId5"/>
    <sheet name="magnificent7" sheetId="5" r:id="rId6"/>
    <sheet name="sizeVsValue" sheetId="6" r:id="rId7"/>
    <sheet name="awesomePortfolio" sheetId="7" r:id="rId8"/>
    <sheet name="qualitative" sheetId="8" r:id="rId9"/>
    <sheet name="fixedIncome" sheetId="9" r:id="rId10"/>
    <sheet name="commodities" sheetId="10" r:id="rId11"/>
    <sheet name="globalMarkets" sheetId="11" r:id="rId12"/>
    <sheet name="currencies" sheetId="12" r:id="rId13"/>
    <sheet name="crypto" sheetId="13" r:id="rId14"/>
    <sheet name="otherEtf" sheetId="14" r:id="rId15"/>
    <sheet name="hedgeProtectionTrades" sheetId="16" r:id="rId16"/>
    <sheet name="Alternatives" sheetId="19" r:id="rId17"/>
    <sheet name="doomsdayTrades" sheetId="17" r:id="rId18"/>
    <sheet name="equalWeightedSectors" sheetId="15" r:id="rId19"/>
  </sheets>
  <definedNames>
    <definedName name="_xlnm._FilterDatabase" localSheetId="16" hidden="1">Alternatives!$A$1:$D$1</definedName>
    <definedName name="_xlnm._FilterDatabase" localSheetId="7" hidden="1">awesomePortfolio!$A$1:$D$1</definedName>
    <definedName name="_xlnm._FilterDatabase" localSheetId="10" hidden="1">commodities!$A$1:$D$1</definedName>
    <definedName name="_xlnm._FilterDatabase" localSheetId="13" hidden="1">crypto!$A$1:$D$1</definedName>
    <definedName name="_xlnm._FilterDatabase" localSheetId="12" hidden="1">currencies!$A$1:$D$1</definedName>
    <definedName name="_xlnm._FilterDatabase" localSheetId="17" hidden="1">doomsdayTrades!$A$1:$D$1</definedName>
    <definedName name="_xlnm._FilterDatabase" localSheetId="18" hidden="1">equalWeightedSectors!$A$1:$E$1</definedName>
    <definedName name="_xlnm._FilterDatabase" localSheetId="9" hidden="1">fixedIncome!$A$1:$D$1</definedName>
    <definedName name="_xlnm._FilterDatabase" localSheetId="11" hidden="1">globalMarkets!$A$1:$D$1</definedName>
    <definedName name="_xlnm._FilterDatabase" localSheetId="15" hidden="1">hedgeProtectionTrades!$A$1:$D$1</definedName>
    <definedName name="_xlnm._FilterDatabase" localSheetId="1" hidden="1">indexes!$A$1:$D$1</definedName>
    <definedName name="_xlnm._FilterDatabase" localSheetId="3" hidden="1">industries!$A$1:$D$1</definedName>
    <definedName name="_xlnm._FilterDatabase" localSheetId="5" hidden="1">magnificent7!$A$1:$D$1</definedName>
    <definedName name="_xlnm._FilterDatabase" localSheetId="14" hidden="1">otherEtf!$A$1:$D$1</definedName>
    <definedName name="_xlnm._FilterDatabase" localSheetId="8" hidden="1">qualitative!$A$1:$D$1</definedName>
    <definedName name="_xlnm._FilterDatabase" localSheetId="6" hidden="1">sizeVsValue!$A$1:$D$1</definedName>
    <definedName name="_xlnm._FilterDatabase" localSheetId="4" hidden="1">spFactors!$A$1:$D$1</definedName>
    <definedName name="_xlnm._FilterDatabase" localSheetId="2" hidden="1">spSectors!$A$1:$D$1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3" l="1" a="1"/>
  <c r="D6" i="3" s="1"/>
  <c r="C6" i="3" a="1"/>
  <c r="C6" i="3" s="1"/>
  <c r="D8" i="3" a="1"/>
  <c r="D8" i="3" s="1"/>
  <c r="C8" i="3" a="1"/>
  <c r="C8" i="3" s="1"/>
  <c r="C2" i="19" a="1"/>
  <c r="C2" i="19" s="1"/>
  <c r="D5" i="19" a="1"/>
  <c r="D5" i="19" s="1"/>
  <c r="C5" i="19" a="1"/>
  <c r="C5" i="19" s="1"/>
  <c r="D9" i="19" a="1"/>
  <c r="D9" i="19" s="1"/>
  <c r="C9" i="19" a="1"/>
  <c r="C9" i="19" s="1"/>
  <c r="D8" i="19" a="1"/>
  <c r="D8" i="19" s="1"/>
  <c r="C8" i="19" a="1"/>
  <c r="C8" i="19" s="1"/>
  <c r="D6" i="19" a="1"/>
  <c r="D6" i="19" s="1"/>
  <c r="C6" i="19" a="1"/>
  <c r="C6" i="19" s="1"/>
  <c r="D7" i="19" a="1"/>
  <c r="D7" i="19" s="1"/>
  <c r="C7" i="19" a="1"/>
  <c r="C7" i="19" s="1"/>
  <c r="D4" i="19" a="1"/>
  <c r="D4" i="19" s="1"/>
  <c r="C4" i="19" a="1"/>
  <c r="C4" i="19" s="1"/>
  <c r="D3" i="19" a="1"/>
  <c r="D3" i="19" s="1"/>
  <c r="C3" i="19" a="1"/>
  <c r="C3" i="19" s="1"/>
  <c r="D2" i="19" a="1"/>
  <c r="D2" i="19" s="1"/>
  <c r="C15" i="18" a="1"/>
  <c r="C15" i="18" s="1"/>
  <c r="D15" i="18" a="1"/>
  <c r="D15" i="18" s="1"/>
  <c r="D14" i="18" a="1"/>
  <c r="D14" i="18" s="1"/>
  <c r="C14" i="18" a="1"/>
  <c r="C14" i="18" s="1"/>
  <c r="C3" i="18" a="1"/>
  <c r="C3" i="18" s="1"/>
  <c r="D3" i="18" a="1"/>
  <c r="D3" i="18" s="1"/>
  <c r="C4" i="18" a="1"/>
  <c r="C4" i="18" s="1"/>
  <c r="D4" i="18" a="1"/>
  <c r="D4" i="18" s="1"/>
  <c r="C5" i="18" a="1"/>
  <c r="C5" i="18" s="1"/>
  <c r="D5" i="18" a="1"/>
  <c r="D5" i="18" s="1"/>
  <c r="C6" i="18" a="1"/>
  <c r="C6" i="18" s="1"/>
  <c r="D6" i="18" a="1"/>
  <c r="D6" i="18" s="1"/>
  <c r="C7" i="18" a="1"/>
  <c r="C7" i="18" s="1"/>
  <c r="D7" i="18" a="1"/>
  <c r="D7" i="18" s="1"/>
  <c r="C8" i="18" a="1"/>
  <c r="C8" i="18" s="1"/>
  <c r="D8" i="18" a="1"/>
  <c r="D8" i="18" s="1"/>
  <c r="C9" i="18" a="1"/>
  <c r="C9" i="18" s="1"/>
  <c r="D9" i="18" a="1"/>
  <c r="D9" i="18" s="1"/>
  <c r="C10" i="18" a="1"/>
  <c r="C10" i="18" s="1"/>
  <c r="D10" i="18" a="1"/>
  <c r="D10" i="18" s="1"/>
  <c r="C11" i="18" a="1"/>
  <c r="C11" i="18" s="1"/>
  <c r="D11" i="18" a="1"/>
  <c r="D11" i="18" s="1"/>
  <c r="C12" i="18" a="1"/>
  <c r="C12" i="18" s="1"/>
  <c r="D12" i="18" a="1"/>
  <c r="D12" i="18" s="1"/>
  <c r="C13" i="18" a="1"/>
  <c r="C13" i="18" s="1"/>
  <c r="D13" i="18" a="1"/>
  <c r="D13" i="18" s="1"/>
  <c r="D2" i="18" a="1"/>
  <c r="D2" i="18" s="1"/>
  <c r="C2" i="18" a="1"/>
  <c r="C2" i="18" s="1"/>
  <c r="C8" i="15" a="1"/>
  <c r="C8" i="15" s="1"/>
  <c r="D8" i="15" a="1"/>
  <c r="D8" i="15" s="1"/>
  <c r="C12" i="15" a="1"/>
  <c r="C12" i="15" s="1"/>
  <c r="D12" i="15" a="1"/>
  <c r="D12" i="15" s="1"/>
  <c r="C5" i="15" a="1"/>
  <c r="C5" i="15" s="1"/>
  <c r="D5" i="15" a="1"/>
  <c r="D5" i="15" s="1"/>
  <c r="C11" i="15" a="1"/>
  <c r="C11" i="15" s="1"/>
  <c r="D11" i="15" a="1"/>
  <c r="D11" i="15" s="1"/>
  <c r="C3" i="15" a="1"/>
  <c r="C3" i="15" s="1"/>
  <c r="D3" i="15" a="1"/>
  <c r="D3" i="15" s="1"/>
  <c r="C4" i="15" a="1"/>
  <c r="C4" i="15" s="1"/>
  <c r="D4" i="15" a="1"/>
  <c r="D4" i="15" s="1"/>
  <c r="C6" i="15" a="1"/>
  <c r="C6" i="15" s="1"/>
  <c r="D6" i="15" a="1"/>
  <c r="D6" i="15" s="1"/>
  <c r="C10" i="15" a="1"/>
  <c r="C10" i="15" s="1"/>
  <c r="D10" i="15" a="1"/>
  <c r="D10" i="15" s="1"/>
  <c r="C7" i="15" a="1"/>
  <c r="C7" i="15" s="1"/>
  <c r="D7" i="15" a="1"/>
  <c r="D7" i="15" s="1"/>
  <c r="C9" i="15" a="1"/>
  <c r="C9" i="15" s="1"/>
  <c r="D9" i="15" a="1"/>
  <c r="D9" i="15" s="1"/>
  <c r="D2" i="15" a="1"/>
  <c r="D2" i="15" s="1"/>
  <c r="C2" i="15" a="1"/>
  <c r="C2" i="15" s="1"/>
  <c r="C5" i="17" a="1"/>
  <c r="C5" i="17" s="1"/>
  <c r="D5" i="17" a="1"/>
  <c r="D5" i="17" s="1"/>
  <c r="C4" i="17" a="1"/>
  <c r="C4" i="17" s="1"/>
  <c r="D4" i="17" a="1"/>
  <c r="D4" i="17" s="1"/>
  <c r="C2" i="17" a="1"/>
  <c r="C2" i="17" s="1"/>
  <c r="D2" i="17" a="1"/>
  <c r="D2" i="17" s="1"/>
  <c r="D3" i="17" a="1"/>
  <c r="D3" i="17" s="1"/>
  <c r="C3" i="17" a="1"/>
  <c r="C3" i="17" s="1"/>
  <c r="C3" i="16" a="1"/>
  <c r="C3" i="16" s="1"/>
  <c r="D3" i="16" a="1"/>
  <c r="D3" i="16" s="1"/>
  <c r="C2" i="16" a="1"/>
  <c r="C2" i="16" s="1"/>
  <c r="D2" i="16" a="1"/>
  <c r="D2" i="16" s="1"/>
  <c r="D4" i="16" a="1"/>
  <c r="D4" i="16" s="1"/>
  <c r="C4" i="16" a="1"/>
  <c r="C4" i="16" s="1"/>
  <c r="C2" i="14" a="1"/>
  <c r="C2" i="14" s="1"/>
  <c r="D2" i="14" a="1"/>
  <c r="D2" i="14" s="1"/>
  <c r="D3" i="14" a="1"/>
  <c r="D3" i="14" s="1"/>
  <c r="C3" i="14" a="1"/>
  <c r="C3" i="14" s="1"/>
  <c r="C4" i="13" a="1"/>
  <c r="C4" i="13" s="1"/>
  <c r="D4" i="13" a="1"/>
  <c r="D4" i="13" s="1"/>
  <c r="C2" i="13" a="1"/>
  <c r="C2" i="13" s="1"/>
  <c r="D2" i="13" a="1"/>
  <c r="D2" i="13" s="1"/>
  <c r="D3" i="13" a="1"/>
  <c r="D3" i="13" s="1"/>
  <c r="C3" i="13" a="1"/>
  <c r="C3" i="13" s="1"/>
  <c r="C8" i="12" a="1"/>
  <c r="C8" i="12" s="1"/>
  <c r="D8" i="12" a="1"/>
  <c r="D8" i="12" s="1"/>
  <c r="C2" i="12" a="1"/>
  <c r="C2" i="12" s="1"/>
  <c r="D2" i="12" a="1"/>
  <c r="D2" i="12" s="1"/>
  <c r="C5" i="12" a="1"/>
  <c r="C5" i="12" s="1"/>
  <c r="D5" i="12" a="1"/>
  <c r="D5" i="12" s="1"/>
  <c r="C7" i="12" a="1"/>
  <c r="C7" i="12" s="1"/>
  <c r="D7" i="12" a="1"/>
  <c r="D7" i="12" s="1"/>
  <c r="C3" i="12" a="1"/>
  <c r="C3" i="12" s="1"/>
  <c r="D3" i="12" a="1"/>
  <c r="D3" i="12" s="1"/>
  <c r="C6" i="12" a="1"/>
  <c r="C6" i="12" s="1"/>
  <c r="D6" i="12" a="1"/>
  <c r="D6" i="12" s="1"/>
  <c r="C9" i="12" a="1"/>
  <c r="C9" i="12" s="1"/>
  <c r="D9" i="12" a="1"/>
  <c r="D9" i="12" s="1"/>
  <c r="D4" i="12" a="1"/>
  <c r="D4" i="12" s="1"/>
  <c r="C4" i="12" a="1"/>
  <c r="C4" i="12" s="1"/>
  <c r="C23" i="11" a="1"/>
  <c r="C23" i="11" s="1"/>
  <c r="D23" i="11" a="1"/>
  <c r="D23" i="11" s="1"/>
  <c r="C9" i="11" a="1"/>
  <c r="C9" i="11" s="1"/>
  <c r="D9" i="11" a="1"/>
  <c r="D9" i="11" s="1"/>
  <c r="C20" i="11" a="1"/>
  <c r="C20" i="11" s="1"/>
  <c r="D20" i="11" a="1"/>
  <c r="D20" i="11" s="1"/>
  <c r="C28" i="11" a="1"/>
  <c r="C28" i="11" s="1"/>
  <c r="D28" i="11" a="1"/>
  <c r="D28" i="11" s="1"/>
  <c r="C5" i="11" a="1"/>
  <c r="C5" i="11" s="1"/>
  <c r="D5" i="11" a="1"/>
  <c r="D5" i="11" s="1"/>
  <c r="C22" i="11" a="1"/>
  <c r="C22" i="11" s="1"/>
  <c r="D22" i="11" a="1"/>
  <c r="D22" i="11" s="1"/>
  <c r="C14" i="11" a="1"/>
  <c r="C14" i="11" s="1"/>
  <c r="D14" i="11" a="1"/>
  <c r="D14" i="11" s="1"/>
  <c r="C19" i="11" a="1"/>
  <c r="C19" i="11" s="1"/>
  <c r="D19" i="11" a="1"/>
  <c r="D19" i="11" s="1"/>
  <c r="C7" i="11" a="1"/>
  <c r="C7" i="11" s="1"/>
  <c r="D7" i="11" a="1"/>
  <c r="D7" i="11" s="1"/>
  <c r="C24" i="11" a="1"/>
  <c r="C24" i="11" s="1"/>
  <c r="D24" i="11" a="1"/>
  <c r="D24" i="11" s="1"/>
  <c r="C15" i="11" a="1"/>
  <c r="C15" i="11" s="1"/>
  <c r="D15" i="11" a="1"/>
  <c r="D15" i="11" s="1"/>
  <c r="C27" i="11" a="1"/>
  <c r="C27" i="11" s="1"/>
  <c r="D27" i="11" a="1"/>
  <c r="D27" i="11" s="1"/>
  <c r="C4" i="11" a="1"/>
  <c r="C4" i="11" s="1"/>
  <c r="D4" i="11" a="1"/>
  <c r="D4" i="11" s="1"/>
  <c r="C18" i="11" a="1"/>
  <c r="C18" i="11" s="1"/>
  <c r="D18" i="11" a="1"/>
  <c r="D18" i="11" s="1"/>
  <c r="C21" i="11" a="1"/>
  <c r="C21" i="11" s="1"/>
  <c r="D21" i="11" a="1"/>
  <c r="D21" i="11" s="1"/>
  <c r="C2" i="11" a="1"/>
  <c r="C2" i="11" s="1"/>
  <c r="D2" i="11" a="1"/>
  <c r="D2" i="11" s="1"/>
  <c r="C26" i="11" a="1"/>
  <c r="C26" i="11" s="1"/>
  <c r="D26" i="11" a="1"/>
  <c r="D26" i="11" s="1"/>
  <c r="C25" i="11" a="1"/>
  <c r="C25" i="11" s="1"/>
  <c r="D25" i="11" a="1"/>
  <c r="D25" i="11" s="1"/>
  <c r="C3" i="11" a="1"/>
  <c r="C3" i="11" s="1"/>
  <c r="D3" i="11" a="1"/>
  <c r="D3" i="11" s="1"/>
  <c r="C8" i="11" a="1"/>
  <c r="C8" i="11" s="1"/>
  <c r="D8" i="11" a="1"/>
  <c r="D8" i="11" s="1"/>
  <c r="C13" i="11" a="1"/>
  <c r="C13" i="11" s="1"/>
  <c r="D13" i="11" a="1"/>
  <c r="D13" i="11" s="1"/>
  <c r="C17" i="11" a="1"/>
  <c r="C17" i="11" s="1"/>
  <c r="D17" i="11" a="1"/>
  <c r="D17" i="11" s="1"/>
  <c r="C16" i="11" a="1"/>
  <c r="C16" i="11" s="1"/>
  <c r="D16" i="11" a="1"/>
  <c r="D16" i="11" s="1"/>
  <c r="C12" i="11" a="1"/>
  <c r="C12" i="11" s="1"/>
  <c r="D12" i="11" a="1"/>
  <c r="D12" i="11" s="1"/>
  <c r="C11" i="11" a="1"/>
  <c r="C11" i="11" s="1"/>
  <c r="D11" i="11" a="1"/>
  <c r="D11" i="11" s="1"/>
  <c r="C10" i="11" a="1"/>
  <c r="C10" i="11" s="1"/>
  <c r="D10" i="11" a="1"/>
  <c r="D10" i="11" s="1"/>
  <c r="C29" i="11" a="1"/>
  <c r="C29" i="11" s="1"/>
  <c r="D29" i="11" a="1"/>
  <c r="D29" i="11" s="1"/>
  <c r="D6" i="11" a="1"/>
  <c r="D6" i="11" s="1"/>
  <c r="C6" i="11" a="1"/>
  <c r="C6" i="11" s="1"/>
  <c r="C5" i="10" a="1"/>
  <c r="C5" i="10" s="1"/>
  <c r="D5" i="10" a="1"/>
  <c r="D5" i="10" s="1"/>
  <c r="C3" i="10" a="1"/>
  <c r="C3" i="10" s="1"/>
  <c r="D3" i="10" a="1"/>
  <c r="D3" i="10" s="1"/>
  <c r="C6" i="10" a="1"/>
  <c r="C6" i="10" s="1"/>
  <c r="D6" i="10" a="1"/>
  <c r="D6" i="10" s="1"/>
  <c r="C14" i="10" a="1"/>
  <c r="C14" i="10" s="1"/>
  <c r="D14" i="10" a="1"/>
  <c r="D14" i="10" s="1"/>
  <c r="C2" i="10" a="1"/>
  <c r="C2" i="10" s="1"/>
  <c r="D2" i="10" a="1"/>
  <c r="D2" i="10" s="1"/>
  <c r="C7" i="10" a="1"/>
  <c r="C7" i="10" s="1"/>
  <c r="D7" i="10" a="1"/>
  <c r="D7" i="10" s="1"/>
  <c r="C12" i="10" a="1"/>
  <c r="C12" i="10" s="1"/>
  <c r="D12" i="10" a="1"/>
  <c r="D12" i="10" s="1"/>
  <c r="C4" i="10" a="1"/>
  <c r="C4" i="10" s="1"/>
  <c r="D4" i="10" a="1"/>
  <c r="D4" i="10" s="1"/>
  <c r="C8" i="10" a="1"/>
  <c r="C8" i="10" s="1"/>
  <c r="D8" i="10" a="1"/>
  <c r="D8" i="10" s="1"/>
  <c r="C16" i="10" a="1"/>
  <c r="C16" i="10" s="1"/>
  <c r="D16" i="10" a="1"/>
  <c r="D16" i="10" s="1"/>
  <c r="C10" i="10" a="1"/>
  <c r="C10" i="10" s="1"/>
  <c r="D10" i="10" a="1"/>
  <c r="D10" i="10" s="1"/>
  <c r="C9" i="10" a="1"/>
  <c r="C9" i="10" s="1"/>
  <c r="D9" i="10" a="1"/>
  <c r="D9" i="10" s="1"/>
  <c r="C18" i="10" a="1"/>
  <c r="C18" i="10" s="1"/>
  <c r="D18" i="10" a="1"/>
  <c r="D18" i="10" s="1"/>
  <c r="C11" i="10" a="1"/>
  <c r="C11" i="10" s="1"/>
  <c r="D11" i="10" a="1"/>
  <c r="D11" i="10" s="1"/>
  <c r="C17" i="10" a="1"/>
  <c r="C17" i="10" s="1"/>
  <c r="D17" i="10" a="1"/>
  <c r="D17" i="10" s="1"/>
  <c r="C20" i="10" a="1"/>
  <c r="C20" i="10" s="1"/>
  <c r="D20" i="10" a="1"/>
  <c r="D20" i="10" s="1"/>
  <c r="C15" i="10" a="1"/>
  <c r="C15" i="10" s="1"/>
  <c r="D15" i="10" a="1"/>
  <c r="D15" i="10" s="1"/>
  <c r="C21" i="10" a="1"/>
  <c r="C21" i="10" s="1"/>
  <c r="D21" i="10" a="1"/>
  <c r="D21" i="10" s="1"/>
  <c r="C22" i="10" a="1"/>
  <c r="C22" i="10" s="1"/>
  <c r="D22" i="10" a="1"/>
  <c r="D22" i="10" s="1"/>
  <c r="C19" i="10" a="1"/>
  <c r="C19" i="10" s="1"/>
  <c r="D19" i="10" a="1"/>
  <c r="D19" i="10" s="1"/>
  <c r="C13" i="10" a="1"/>
  <c r="C13" i="10" s="1"/>
  <c r="D13" i="10" a="1"/>
  <c r="D13" i="10" s="1"/>
  <c r="D23" i="10" a="1"/>
  <c r="D23" i="10" s="1"/>
  <c r="C23" i="10" a="1"/>
  <c r="C23" i="10" s="1"/>
  <c r="C12" i="9" a="1"/>
  <c r="C12" i="9" s="1"/>
  <c r="D12" i="9" a="1"/>
  <c r="D12" i="9" s="1"/>
  <c r="C8" i="9" a="1"/>
  <c r="C8" i="9" s="1"/>
  <c r="D8" i="9" a="1"/>
  <c r="D8" i="9" s="1"/>
  <c r="C16" i="9" a="1"/>
  <c r="C16" i="9" s="1"/>
  <c r="D16" i="9" a="1"/>
  <c r="D16" i="9" s="1"/>
  <c r="C5" i="9" a="1"/>
  <c r="C5" i="9" s="1"/>
  <c r="D5" i="9" a="1"/>
  <c r="D5" i="9" s="1"/>
  <c r="C2" i="9" a="1"/>
  <c r="C2" i="9" s="1"/>
  <c r="D2" i="9" a="1"/>
  <c r="D2" i="9" s="1"/>
  <c r="C3" i="9" a="1"/>
  <c r="C3" i="9" s="1"/>
  <c r="D3" i="9" a="1"/>
  <c r="D3" i="9" s="1"/>
  <c r="C6" i="9" a="1"/>
  <c r="C6" i="9" s="1"/>
  <c r="D6" i="9" a="1"/>
  <c r="D6" i="9" s="1"/>
  <c r="C13" i="9" a="1"/>
  <c r="C13" i="9" s="1"/>
  <c r="D13" i="9" a="1"/>
  <c r="D13" i="9" s="1"/>
  <c r="C10" i="9" a="1"/>
  <c r="C10" i="9" s="1"/>
  <c r="D10" i="9" a="1"/>
  <c r="D10" i="9" s="1"/>
  <c r="C9" i="9" a="1"/>
  <c r="C9" i="9" s="1"/>
  <c r="D9" i="9" a="1"/>
  <c r="D9" i="9" s="1"/>
  <c r="C15" i="9" a="1"/>
  <c r="C15" i="9" s="1"/>
  <c r="D15" i="9" a="1"/>
  <c r="D15" i="9" s="1"/>
  <c r="C11" i="9" a="1"/>
  <c r="C11" i="9" s="1"/>
  <c r="D11" i="9" a="1"/>
  <c r="D11" i="9" s="1"/>
  <c r="C14" i="9" a="1"/>
  <c r="C14" i="9" s="1"/>
  <c r="D14" i="9" a="1"/>
  <c r="D14" i="9" s="1"/>
  <c r="C7" i="9" a="1"/>
  <c r="C7" i="9" s="1"/>
  <c r="D7" i="9" a="1"/>
  <c r="D7" i="9" s="1"/>
  <c r="C17" i="9" a="1"/>
  <c r="C17" i="9" s="1"/>
  <c r="D17" i="9" a="1"/>
  <c r="D17" i="9" s="1"/>
  <c r="C4" i="9" a="1"/>
  <c r="C4" i="9" s="1"/>
  <c r="D4" i="9" a="1"/>
  <c r="D4" i="9" s="1"/>
  <c r="D18" i="9" a="1"/>
  <c r="D18" i="9" s="1"/>
  <c r="C18" i="9" a="1"/>
  <c r="C18" i="9" s="1"/>
  <c r="C5" i="8" a="1"/>
  <c r="C5" i="8" s="1"/>
  <c r="D5" i="8" a="1"/>
  <c r="D5" i="8" s="1"/>
  <c r="C4" i="8" a="1"/>
  <c r="C4" i="8" s="1"/>
  <c r="D4" i="8" a="1"/>
  <c r="D4" i="8" s="1"/>
  <c r="C7" i="8" a="1"/>
  <c r="C7" i="8" s="1"/>
  <c r="D7" i="8" a="1"/>
  <c r="D7" i="8" s="1"/>
  <c r="C6" i="8" a="1"/>
  <c r="C6" i="8" s="1"/>
  <c r="D6" i="8" a="1"/>
  <c r="D6" i="8" s="1"/>
  <c r="C2" i="8" a="1"/>
  <c r="C2" i="8" s="1"/>
  <c r="D2" i="8" a="1"/>
  <c r="D2" i="8" s="1"/>
  <c r="D3" i="8" a="1"/>
  <c r="D3" i="8" s="1"/>
  <c r="C3" i="8" a="1"/>
  <c r="C3" i="8" s="1"/>
  <c r="C4" i="7" a="1"/>
  <c r="C4" i="7" s="1"/>
  <c r="D4" i="7" a="1"/>
  <c r="D4" i="7" s="1"/>
  <c r="C6" i="7" a="1"/>
  <c r="C6" i="7" s="1"/>
  <c r="D6" i="7" a="1"/>
  <c r="D6" i="7" s="1"/>
  <c r="C3" i="7" a="1"/>
  <c r="C3" i="7" s="1"/>
  <c r="D3" i="7" a="1"/>
  <c r="D3" i="7" s="1"/>
  <c r="C7" i="7" a="1"/>
  <c r="C7" i="7" s="1"/>
  <c r="D7" i="7" a="1"/>
  <c r="D7" i="7" s="1"/>
  <c r="C8" i="7" a="1"/>
  <c r="C8" i="7" s="1"/>
  <c r="D8" i="7" a="1"/>
  <c r="D8" i="7" s="1"/>
  <c r="C5" i="7" a="1"/>
  <c r="C5" i="7" s="1"/>
  <c r="D5" i="7" a="1"/>
  <c r="D5" i="7" s="1"/>
  <c r="D2" i="7" a="1"/>
  <c r="D2" i="7" s="1"/>
  <c r="C2" i="7" a="1"/>
  <c r="C2" i="7" s="1"/>
  <c r="C5" i="6" a="1"/>
  <c r="C5" i="6" s="1"/>
  <c r="D5" i="6" a="1"/>
  <c r="D5" i="6" s="1"/>
  <c r="C2" i="6" a="1"/>
  <c r="C2" i="6" s="1"/>
  <c r="D2" i="6" a="1"/>
  <c r="D2" i="6" s="1"/>
  <c r="C4" i="6" a="1"/>
  <c r="C4" i="6" s="1"/>
  <c r="D4" i="6" a="1"/>
  <c r="D4" i="6" s="1"/>
  <c r="C3" i="6" a="1"/>
  <c r="C3" i="6" s="1"/>
  <c r="D3" i="6" a="1"/>
  <c r="D3" i="6" s="1"/>
  <c r="C7" i="6" a="1"/>
  <c r="C7" i="6" s="1"/>
  <c r="D7" i="6" a="1"/>
  <c r="D7" i="6" s="1"/>
  <c r="D6" i="6" a="1"/>
  <c r="D6" i="6" s="1"/>
  <c r="C6" i="6" a="1"/>
  <c r="C6" i="6" s="1"/>
  <c r="C3" i="5" a="1"/>
  <c r="C3" i="5" s="1"/>
  <c r="D3" i="5" a="1"/>
  <c r="D3" i="5" s="1"/>
  <c r="C8" i="5" a="1"/>
  <c r="C8" i="5" s="1"/>
  <c r="D8" i="5" a="1"/>
  <c r="D8" i="5" s="1"/>
  <c r="C5" i="5" a="1"/>
  <c r="C5" i="5" s="1"/>
  <c r="D5" i="5" a="1"/>
  <c r="D5" i="5" s="1"/>
  <c r="C6" i="5" a="1"/>
  <c r="C6" i="5" s="1"/>
  <c r="D6" i="5" a="1"/>
  <c r="D6" i="5" s="1"/>
  <c r="C7" i="5" a="1"/>
  <c r="C7" i="5" s="1"/>
  <c r="D7" i="5" a="1"/>
  <c r="D7" i="5" s="1"/>
  <c r="C4" i="5" a="1"/>
  <c r="C4" i="5" s="1"/>
  <c r="D4" i="5" a="1"/>
  <c r="D4" i="5" s="1"/>
  <c r="D2" i="5" a="1"/>
  <c r="D2" i="5" s="1"/>
  <c r="C2" i="5" a="1"/>
  <c r="C2" i="5" s="1"/>
  <c r="C2" i="4" a="1"/>
  <c r="C2" i="4" s="1"/>
  <c r="D2" i="4" a="1"/>
  <c r="D2" i="4" s="1"/>
  <c r="C8" i="4" a="1"/>
  <c r="C8" i="4" s="1"/>
  <c r="D8" i="4" a="1"/>
  <c r="D8" i="4" s="1"/>
  <c r="C19" i="4" a="1"/>
  <c r="C19" i="4" s="1"/>
  <c r="D19" i="4" a="1"/>
  <c r="D19" i="4" s="1"/>
  <c r="C17" i="4" a="1"/>
  <c r="C17" i="4" s="1"/>
  <c r="D17" i="4" a="1"/>
  <c r="D17" i="4" s="1"/>
  <c r="C6" i="4" a="1"/>
  <c r="C6" i="4" s="1"/>
  <c r="D6" i="4" a="1"/>
  <c r="D6" i="4" s="1"/>
  <c r="C3" i="4" a="1"/>
  <c r="C3" i="4" s="1"/>
  <c r="D3" i="4" a="1"/>
  <c r="D3" i="4" s="1"/>
  <c r="C13" i="4" a="1"/>
  <c r="C13" i="4" s="1"/>
  <c r="D13" i="4" a="1"/>
  <c r="D13" i="4" s="1"/>
  <c r="C18" i="4" a="1"/>
  <c r="C18" i="4" s="1"/>
  <c r="D18" i="4" a="1"/>
  <c r="D18" i="4" s="1"/>
  <c r="C4" i="4" a="1"/>
  <c r="C4" i="4" s="1"/>
  <c r="D4" i="4" a="1"/>
  <c r="D4" i="4" s="1"/>
  <c r="C7" i="4" a="1"/>
  <c r="C7" i="4" s="1"/>
  <c r="D7" i="4" a="1"/>
  <c r="D7" i="4" s="1"/>
  <c r="C14" i="4" a="1"/>
  <c r="C14" i="4" s="1"/>
  <c r="D14" i="4" a="1"/>
  <c r="D14" i="4" s="1"/>
  <c r="C12" i="4" a="1"/>
  <c r="C12" i="4" s="1"/>
  <c r="D12" i="4" a="1"/>
  <c r="D12" i="4" s="1"/>
  <c r="C20" i="4" a="1"/>
  <c r="C20" i="4" s="1"/>
  <c r="D20" i="4" a="1"/>
  <c r="D20" i="4" s="1"/>
  <c r="C5" i="4" a="1"/>
  <c r="C5" i="4" s="1"/>
  <c r="D5" i="4" a="1"/>
  <c r="D5" i="4" s="1"/>
  <c r="C11" i="4" a="1"/>
  <c r="C11" i="4" s="1"/>
  <c r="D11" i="4" a="1"/>
  <c r="D11" i="4" s="1"/>
  <c r="C16" i="4" a="1"/>
  <c r="C16" i="4" s="1"/>
  <c r="D16" i="4" a="1"/>
  <c r="D16" i="4" s="1"/>
  <c r="C10" i="4" a="1"/>
  <c r="C10" i="4" s="1"/>
  <c r="D10" i="4" a="1"/>
  <c r="D10" i="4" s="1"/>
  <c r="C15" i="4" a="1"/>
  <c r="C15" i="4" s="1"/>
  <c r="D15" i="4" a="1"/>
  <c r="D15" i="4" s="1"/>
  <c r="D9" i="4" a="1"/>
  <c r="D9" i="4" s="1"/>
  <c r="C9" i="4" a="1"/>
  <c r="C9" i="4" s="1"/>
  <c r="C9" i="3" a="1"/>
  <c r="C9" i="3" s="1"/>
  <c r="D9" i="3" a="1"/>
  <c r="D9" i="3" s="1"/>
  <c r="C2" i="3" a="1"/>
  <c r="C2" i="3" s="1"/>
  <c r="D2" i="3" a="1"/>
  <c r="D2" i="3" s="1"/>
  <c r="C3" i="3" a="1"/>
  <c r="C3" i="3" s="1"/>
  <c r="D3" i="3" a="1"/>
  <c r="D3" i="3" s="1"/>
  <c r="C28" i="3" a="1"/>
  <c r="C28" i="3" s="1"/>
  <c r="D28" i="3" a="1"/>
  <c r="D28" i="3" s="1"/>
  <c r="C19" i="3" a="1"/>
  <c r="C19" i="3" s="1"/>
  <c r="D19" i="3" a="1"/>
  <c r="D19" i="3" s="1"/>
  <c r="C4" i="3" a="1"/>
  <c r="C4" i="3" s="1"/>
  <c r="D4" i="3" a="1"/>
  <c r="D4" i="3" s="1"/>
  <c r="C35" i="3" a="1"/>
  <c r="C35" i="3" s="1"/>
  <c r="D35" i="3" a="1"/>
  <c r="D35" i="3" s="1"/>
  <c r="C23" i="3" a="1"/>
  <c r="C23" i="3" s="1"/>
  <c r="D23" i="3" a="1"/>
  <c r="D23" i="3" s="1"/>
  <c r="C32" i="3" a="1"/>
  <c r="C32" i="3" s="1"/>
  <c r="D32" i="3" a="1"/>
  <c r="D32" i="3" s="1"/>
  <c r="C18" i="3" a="1"/>
  <c r="C18" i="3" s="1"/>
  <c r="D18" i="3" a="1"/>
  <c r="D18" i="3" s="1"/>
  <c r="C5" i="3" a="1"/>
  <c r="C5" i="3" s="1"/>
  <c r="D5" i="3" a="1"/>
  <c r="D5" i="3" s="1"/>
  <c r="C15" i="3" a="1"/>
  <c r="C15" i="3" s="1"/>
  <c r="D15" i="3" a="1"/>
  <c r="D15" i="3" s="1"/>
  <c r="C26" i="3" a="1"/>
  <c r="C26" i="3" s="1"/>
  <c r="D26" i="3" a="1"/>
  <c r="D26" i="3" s="1"/>
  <c r="C22" i="3" a="1"/>
  <c r="C22" i="3" s="1"/>
  <c r="D22" i="3" a="1"/>
  <c r="D22" i="3" s="1"/>
  <c r="C17" i="3" a="1"/>
  <c r="C17" i="3" s="1"/>
  <c r="D17" i="3" a="1"/>
  <c r="D17" i="3" s="1"/>
  <c r="C33" i="3" a="1"/>
  <c r="C33" i="3" s="1"/>
  <c r="D33" i="3" a="1"/>
  <c r="D33" i="3" s="1"/>
  <c r="C31" i="3" a="1"/>
  <c r="C31" i="3" s="1"/>
  <c r="D31" i="3" a="1"/>
  <c r="D31" i="3" s="1"/>
  <c r="C16" i="3" a="1"/>
  <c r="C16" i="3" s="1"/>
  <c r="D16" i="3" a="1"/>
  <c r="D16" i="3" s="1"/>
  <c r="C20" i="3" a="1"/>
  <c r="C20" i="3" s="1"/>
  <c r="D20" i="3" a="1"/>
  <c r="D20" i="3" s="1"/>
  <c r="C12" i="3" a="1"/>
  <c r="C12" i="3" s="1"/>
  <c r="D12" i="3" a="1"/>
  <c r="D12" i="3" s="1"/>
  <c r="C10" i="3" a="1"/>
  <c r="C10" i="3" s="1"/>
  <c r="D10" i="3" a="1"/>
  <c r="D10" i="3" s="1"/>
  <c r="C34" i="3" a="1"/>
  <c r="C34" i="3" s="1"/>
  <c r="D34" i="3" a="1"/>
  <c r="D34" i="3" s="1"/>
  <c r="C25" i="3" a="1"/>
  <c r="C25" i="3" s="1"/>
  <c r="D25" i="3" a="1"/>
  <c r="D25" i="3" s="1"/>
  <c r="C13" i="3" a="1"/>
  <c r="C13" i="3" s="1"/>
  <c r="D13" i="3" a="1"/>
  <c r="D13" i="3" s="1"/>
  <c r="C24" i="3" a="1"/>
  <c r="C24" i="3" s="1"/>
  <c r="D24" i="3" a="1"/>
  <c r="D24" i="3" s="1"/>
  <c r="C14" i="3" a="1"/>
  <c r="C14" i="3" s="1"/>
  <c r="D14" i="3" a="1"/>
  <c r="D14" i="3" s="1"/>
  <c r="C21" i="3" a="1"/>
  <c r="C21" i="3" s="1"/>
  <c r="D21" i="3" a="1"/>
  <c r="D21" i="3" s="1"/>
  <c r="C27" i="3" a="1"/>
  <c r="C27" i="3" s="1"/>
  <c r="D27" i="3" a="1"/>
  <c r="D27" i="3" s="1"/>
  <c r="C7" i="3" a="1"/>
  <c r="C7" i="3" s="1"/>
  <c r="D7" i="3" a="1"/>
  <c r="D7" i="3" s="1"/>
  <c r="C11" i="3" a="1"/>
  <c r="C11" i="3" s="1"/>
  <c r="D11" i="3" a="1"/>
  <c r="D11" i="3" s="1"/>
  <c r="C29" i="3" a="1"/>
  <c r="C29" i="3" s="1"/>
  <c r="D29" i="3" a="1"/>
  <c r="D29" i="3" s="1"/>
  <c r="D30" i="3" a="1"/>
  <c r="D30" i="3" s="1"/>
  <c r="C30" i="3" a="1"/>
  <c r="C30" i="3" s="1"/>
  <c r="D10" i="2" a="1"/>
  <c r="D10" i="2" s="1"/>
  <c r="D8" i="2" a="1"/>
  <c r="D8" i="2" s="1"/>
  <c r="D9" i="2" a="1"/>
  <c r="D9" i="2" s="1"/>
  <c r="D11" i="2" a="1"/>
  <c r="D11" i="2" s="1"/>
  <c r="D7" i="2" a="1"/>
  <c r="D7" i="2" s="1"/>
  <c r="D5" i="2" a="1"/>
  <c r="D5" i="2" s="1"/>
  <c r="D12" i="2" a="1"/>
  <c r="D12" i="2" s="1"/>
  <c r="D4" i="2" a="1"/>
  <c r="D4" i="2" s="1"/>
  <c r="D6" i="2" a="1"/>
  <c r="D6" i="2" s="1"/>
  <c r="D3" i="2" a="1"/>
  <c r="D3" i="2" s="1"/>
  <c r="D2" i="2" a="1"/>
  <c r="D2" i="2" s="1"/>
  <c r="C10" i="2" a="1"/>
  <c r="C10" i="2" s="1"/>
  <c r="C8" i="2" a="1"/>
  <c r="C8" i="2" s="1"/>
  <c r="C9" i="2" a="1"/>
  <c r="C9" i="2" s="1"/>
  <c r="C11" i="2" a="1"/>
  <c r="C11" i="2" s="1"/>
  <c r="C7" i="2" a="1"/>
  <c r="C7" i="2" s="1"/>
  <c r="C5" i="2" a="1"/>
  <c r="C5" i="2" s="1"/>
  <c r="C12" i="2" a="1"/>
  <c r="C12" i="2" s="1"/>
  <c r="C4" i="2" a="1"/>
  <c r="C4" i="2" s="1"/>
  <c r="C6" i="2" a="1"/>
  <c r="C6" i="2" s="1"/>
  <c r="C3" i="2" a="1"/>
  <c r="C3" i="2" s="1"/>
  <c r="C2" i="2" a="1"/>
  <c r="C2" i="2" s="1"/>
  <c r="D5" i="1" a="1"/>
  <c r="D5" i="1" s="1"/>
  <c r="D7" i="1" a="1"/>
  <c r="D7" i="1" s="1"/>
  <c r="D8" i="1" a="1"/>
  <c r="D8" i="1" s="1"/>
  <c r="D3" i="1" a="1"/>
  <c r="D3" i="1" s="1"/>
  <c r="D2" i="1" a="1"/>
  <c r="D2" i="1" s="1"/>
  <c r="D4" i="1" a="1"/>
  <c r="D4" i="1" s="1"/>
  <c r="D6" i="1" a="1"/>
  <c r="D6" i="1" s="1"/>
  <c r="C5" i="1" a="1"/>
  <c r="C5" i="1" s="1"/>
  <c r="C7" i="1" a="1"/>
  <c r="C7" i="1" s="1"/>
  <c r="C8" i="1" a="1"/>
  <c r="C8" i="1" s="1"/>
  <c r="C3" i="1" a="1"/>
  <c r="C3" i="1" s="1"/>
  <c r="C2" i="1" a="1"/>
  <c r="C2" i="1" s="1"/>
  <c r="C4" i="1" a="1"/>
  <c r="C4" i="1" s="1"/>
  <c r="C6" i="1" a="1"/>
  <c r="C6"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6"/>
        </ext>
      </extLst>
    </bk>
    <bk>
      <extLst>
        <ext uri="{3e2802c4-a4d2-4d8b-9148-e3be6c30e623}">
          <xlrd:rvb i="19"/>
        </ext>
      </extLst>
    </bk>
    <bk>
      <extLst>
        <ext uri="{3e2802c4-a4d2-4d8b-9148-e3be6c30e623}">
          <xlrd:rvb i="22"/>
        </ext>
      </extLst>
    </bk>
    <bk>
      <extLst>
        <ext uri="{3e2802c4-a4d2-4d8b-9148-e3be6c30e623}">
          <xlrd:rvb i="25"/>
        </ext>
      </extLst>
    </bk>
    <bk>
      <extLst>
        <ext uri="{3e2802c4-a4d2-4d8b-9148-e3be6c30e623}">
          <xlrd:rvb i="28"/>
        </ext>
      </extLst>
    </bk>
    <bk>
      <extLst>
        <ext uri="{3e2802c4-a4d2-4d8b-9148-e3be6c30e623}">
          <xlrd:rvb i="31"/>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46"/>
        </ext>
      </extLst>
    </bk>
    <bk>
      <extLst>
        <ext uri="{3e2802c4-a4d2-4d8b-9148-e3be6c30e623}">
          <xlrd:rvb i="49"/>
        </ext>
      </extLst>
    </bk>
    <bk>
      <extLst>
        <ext uri="{3e2802c4-a4d2-4d8b-9148-e3be6c30e623}">
          <xlrd:rvb i="52"/>
        </ext>
      </extLst>
    </bk>
    <bk>
      <extLst>
        <ext uri="{3e2802c4-a4d2-4d8b-9148-e3be6c30e623}">
          <xlrd:rvb i="55"/>
        </ext>
      </extLst>
    </bk>
    <bk>
      <extLst>
        <ext uri="{3e2802c4-a4d2-4d8b-9148-e3be6c30e623}">
          <xlrd:rvb i="58"/>
        </ext>
      </extLst>
    </bk>
    <bk>
      <extLst>
        <ext uri="{3e2802c4-a4d2-4d8b-9148-e3be6c30e623}">
          <xlrd:rvb i="61"/>
        </ext>
      </extLst>
    </bk>
    <bk>
      <extLst>
        <ext uri="{3e2802c4-a4d2-4d8b-9148-e3be6c30e623}">
          <xlrd:rvb i="64"/>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88"/>
        </ext>
      </extLst>
    </bk>
    <bk>
      <extLst>
        <ext uri="{3e2802c4-a4d2-4d8b-9148-e3be6c30e623}">
          <xlrd:rvb i="91"/>
        </ext>
      </extLst>
    </bk>
    <bk>
      <extLst>
        <ext uri="{3e2802c4-a4d2-4d8b-9148-e3be6c30e623}">
          <xlrd:rvb i="94"/>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297"/>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6"/>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5"/>
        </ext>
      </extLst>
    </bk>
    <bk>
      <extLst>
        <ext uri="{3e2802c4-a4d2-4d8b-9148-e3be6c30e623}">
          <xlrd:rvb i="438"/>
        </ext>
      </extLst>
    </bk>
    <bk>
      <extLst>
        <ext uri="{3e2802c4-a4d2-4d8b-9148-e3be6c30e623}">
          <xlrd:rvb i="441"/>
        </ext>
      </extLst>
    </bk>
    <bk>
      <extLst>
        <ext uri="{3e2802c4-a4d2-4d8b-9148-e3be6c30e623}">
          <xlrd:rvb i="444"/>
        </ext>
      </extLst>
    </bk>
    <bk>
      <extLst>
        <ext uri="{3e2802c4-a4d2-4d8b-9148-e3be6c30e623}">
          <xlrd:rvb i="447"/>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9"/>
        </ext>
      </extLst>
    </bk>
    <bk>
      <extLst>
        <ext uri="{3e2802c4-a4d2-4d8b-9148-e3be6c30e623}">
          <xlrd:rvb i="462"/>
        </ext>
      </extLst>
    </bk>
    <bk>
      <extLst>
        <ext uri="{3e2802c4-a4d2-4d8b-9148-e3be6c30e623}">
          <xlrd:rvb i="465"/>
        </ext>
      </extLst>
    </bk>
    <bk>
      <extLst>
        <ext uri="{3e2802c4-a4d2-4d8b-9148-e3be6c30e623}">
          <xlrd:rvb i="468"/>
        </ext>
      </extLst>
    </bk>
    <bk>
      <extLst>
        <ext uri="{3e2802c4-a4d2-4d8b-9148-e3be6c30e623}">
          <xlrd:rvb i="471"/>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8"/>
        </ext>
      </extLst>
    </bk>
    <bk>
      <extLst>
        <ext uri="{3e2802c4-a4d2-4d8b-9148-e3be6c30e623}">
          <xlrd:rvb i="501"/>
        </ext>
      </extLst>
    </bk>
    <bk>
      <extLst>
        <ext uri="{3e2802c4-a4d2-4d8b-9148-e3be6c30e623}">
          <xlrd:rvb i="504"/>
        </ext>
      </extLst>
    </bk>
    <bk>
      <extLst>
        <ext uri="{3e2802c4-a4d2-4d8b-9148-e3be6c30e623}">
          <xlrd:rvb i="507"/>
        </ext>
      </extLst>
    </bk>
    <bk>
      <extLst>
        <ext uri="{3e2802c4-a4d2-4d8b-9148-e3be6c30e623}">
          <xlrd:rvb i="510"/>
        </ext>
      </extLst>
    </bk>
    <bk>
      <extLst>
        <ext uri="{3e2802c4-a4d2-4d8b-9148-e3be6c30e623}">
          <xlrd:rvb i="513"/>
        </ext>
      </extLst>
    </bk>
    <bk>
      <extLst>
        <ext uri="{3e2802c4-a4d2-4d8b-9148-e3be6c30e623}">
          <xlrd:rvb i="516"/>
        </ext>
      </extLst>
    </bk>
    <bk>
      <extLst>
        <ext uri="{3e2802c4-a4d2-4d8b-9148-e3be6c30e623}">
          <xlrd:rvb i="519"/>
        </ext>
      </extLst>
    </bk>
    <bk>
      <extLst>
        <ext uri="{3e2802c4-a4d2-4d8b-9148-e3be6c30e623}">
          <xlrd:rvb i="521"/>
        </ext>
      </extLst>
    </bk>
    <bk>
      <extLst>
        <ext uri="{3e2802c4-a4d2-4d8b-9148-e3be6c30e623}">
          <xlrd:rvb i="524"/>
        </ext>
      </extLst>
    </bk>
    <bk>
      <extLst>
        <ext uri="{3e2802c4-a4d2-4d8b-9148-e3be6c30e623}">
          <xlrd:rvb i="527"/>
        </ext>
      </extLst>
    </bk>
    <bk>
      <extLst>
        <ext uri="{3e2802c4-a4d2-4d8b-9148-e3be6c30e623}">
          <xlrd:rvb i="530"/>
        </ext>
      </extLst>
    </bk>
    <bk>
      <extLst>
        <ext uri="{3e2802c4-a4d2-4d8b-9148-e3be6c30e623}">
          <xlrd:rvb i="533"/>
        </ext>
      </extLst>
    </bk>
    <bk>
      <extLst>
        <ext uri="{3e2802c4-a4d2-4d8b-9148-e3be6c30e623}">
          <xlrd:rvb i="536"/>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futureMetadata>
  <cellMetadata count="1">
    <bk>
      <rc t="1" v="0"/>
    </bk>
  </cellMetadata>
  <valueMetadata count="19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valueMetadata>
</metadata>
</file>

<file path=xl/sharedStrings.xml><?xml version="1.0" encoding="utf-8"?>
<sst xmlns="http://schemas.openxmlformats.org/spreadsheetml/2006/main" count="293" uniqueCount="203">
  <si>
    <t>TKT</t>
  </si>
  <si>
    <t>ONEQ</t>
  </si>
  <si>
    <t>QQQ</t>
  </si>
  <si>
    <t>IWM</t>
  </si>
  <si>
    <t>IWC</t>
  </si>
  <si>
    <t>SPY</t>
  </si>
  <si>
    <t>DIA</t>
  </si>
  <si>
    <t>MDY</t>
  </si>
  <si>
    <t>XLK</t>
  </si>
  <si>
    <t>XLRE</t>
  </si>
  <si>
    <t>XLV</t>
  </si>
  <si>
    <t>XLF</t>
  </si>
  <si>
    <t>XLU</t>
  </si>
  <si>
    <t>XLE</t>
  </si>
  <si>
    <t>XLC</t>
  </si>
  <si>
    <t>XLP</t>
  </si>
  <si>
    <t>XLB</t>
  </si>
  <si>
    <t>XLY</t>
  </si>
  <si>
    <t>XLI</t>
  </si>
  <si>
    <t>ESPO</t>
  </si>
  <si>
    <t>GDX</t>
  </si>
  <si>
    <t>PBW</t>
  </si>
  <si>
    <t>SOCL</t>
  </si>
  <si>
    <t>SKYY</t>
  </si>
  <si>
    <t>GGME</t>
  </si>
  <si>
    <t>SMH</t>
  </si>
  <si>
    <t>MSOS</t>
  </si>
  <si>
    <t>XSW</t>
  </si>
  <si>
    <t>IAI</t>
  </si>
  <si>
    <t>IBB</t>
  </si>
  <si>
    <t>OIH</t>
  </si>
  <si>
    <t>XRT</t>
  </si>
  <si>
    <t>FDN</t>
  </si>
  <si>
    <t>JETS</t>
  </si>
  <si>
    <t>KRE</t>
  </si>
  <si>
    <t>IHI</t>
  </si>
  <si>
    <t>IHF</t>
  </si>
  <si>
    <t>TAN</t>
  </si>
  <si>
    <t>KBE</t>
  </si>
  <si>
    <t>IYM</t>
  </si>
  <si>
    <t>XOP</t>
  </si>
  <si>
    <t>KIE</t>
  </si>
  <si>
    <t>BOTZ</t>
  </si>
  <si>
    <t>PJP</t>
  </si>
  <si>
    <t>IFRA</t>
  </si>
  <si>
    <t>BETZ</t>
  </si>
  <si>
    <t>ITA</t>
  </si>
  <si>
    <t>PEJ</t>
  </si>
  <si>
    <t>XHB</t>
  </si>
  <si>
    <t>IYT</t>
  </si>
  <si>
    <t>PBJ</t>
  </si>
  <si>
    <t>IWW</t>
  </si>
  <si>
    <t>SPHB</t>
  </si>
  <si>
    <t>SPMV</t>
  </si>
  <si>
    <t>QUAL</t>
  </si>
  <si>
    <t>SPGP</t>
  </si>
  <si>
    <t>SPYD</t>
  </si>
  <si>
    <t>SPMO</t>
  </si>
  <si>
    <t>RPG</t>
  </si>
  <si>
    <t>SPHD</t>
  </si>
  <si>
    <t>SPYV</t>
  </si>
  <si>
    <t>RWL</t>
  </si>
  <si>
    <t>RSP</t>
  </si>
  <si>
    <t>SPLV</t>
  </si>
  <si>
    <t>RPV</t>
  </si>
  <si>
    <t>SPVU</t>
  </si>
  <si>
    <t>SPVM</t>
  </si>
  <si>
    <t>NOBL</t>
  </si>
  <si>
    <t>PKW</t>
  </si>
  <si>
    <t>TSLA</t>
  </si>
  <si>
    <t>GOOG</t>
  </si>
  <si>
    <t>AAPL</t>
  </si>
  <si>
    <t>NVDA</t>
  </si>
  <si>
    <t>MSFT</t>
  </si>
  <si>
    <t>META</t>
  </si>
  <si>
    <t>AMZN</t>
  </si>
  <si>
    <t>IVW</t>
  </si>
  <si>
    <t>IVE</t>
  </si>
  <si>
    <t>IJS</t>
  </si>
  <si>
    <t>IJJ</t>
  </si>
  <si>
    <t>IJT</t>
  </si>
  <si>
    <t>IJK</t>
  </si>
  <si>
    <t>EDC</t>
  </si>
  <si>
    <t>TQQQ</t>
  </si>
  <si>
    <t>TNA</t>
  </si>
  <si>
    <t>SPXL</t>
  </si>
  <si>
    <t>UDOW</t>
  </si>
  <si>
    <t>MIDU</t>
  </si>
  <si>
    <t>IPO</t>
  </si>
  <si>
    <t>PSP</t>
  </si>
  <si>
    <t>GURU</t>
  </si>
  <si>
    <t>CSD</t>
  </si>
  <si>
    <t>ZROZ</t>
  </si>
  <si>
    <t>TLT</t>
  </si>
  <si>
    <t>TLH</t>
  </si>
  <si>
    <t>IGOV</t>
  </si>
  <si>
    <t>EMB</t>
  </si>
  <si>
    <t>LQD</t>
  </si>
  <si>
    <t>PFF</t>
  </si>
  <si>
    <t>IEF</t>
  </si>
  <si>
    <t>GOVT</t>
  </si>
  <si>
    <t>AGG</t>
  </si>
  <si>
    <t>TIP</t>
  </si>
  <si>
    <t>HYG</t>
  </si>
  <si>
    <t>IEI</t>
  </si>
  <si>
    <t>SHY</t>
  </si>
  <si>
    <t>BNDX</t>
  </si>
  <si>
    <t>BKLN</t>
  </si>
  <si>
    <t>MUB</t>
  </si>
  <si>
    <t>UNG</t>
  </si>
  <si>
    <t>SLV</t>
  </si>
  <si>
    <t>PPLT</t>
  </si>
  <si>
    <t>CPER</t>
  </si>
  <si>
    <t>DBB</t>
  </si>
  <si>
    <t>URA</t>
  </si>
  <si>
    <t>XME</t>
  </si>
  <si>
    <t>UGA</t>
  </si>
  <si>
    <t>PALL</t>
  </si>
  <si>
    <t>WOOD</t>
  </si>
  <si>
    <t>USO</t>
  </si>
  <si>
    <t>LIT</t>
  </si>
  <si>
    <t>DBC</t>
  </si>
  <si>
    <t>NANR</t>
  </si>
  <si>
    <t>MOO</t>
  </si>
  <si>
    <t>SOYB</t>
  </si>
  <si>
    <t>VEGI</t>
  </si>
  <si>
    <t>WEAT</t>
  </si>
  <si>
    <t>CORN</t>
  </si>
  <si>
    <t>DBA</t>
  </si>
  <si>
    <t>CANE</t>
  </si>
  <si>
    <t>FXI</t>
  </si>
  <si>
    <t>TUR</t>
  </si>
  <si>
    <t>EWH</t>
  </si>
  <si>
    <t>EWP</t>
  </si>
  <si>
    <t>INDA</t>
  </si>
  <si>
    <t>VNM</t>
  </si>
  <si>
    <t>EWA</t>
  </si>
  <si>
    <t>EWT</t>
  </si>
  <si>
    <t>EEM</t>
  </si>
  <si>
    <t>EWI</t>
  </si>
  <si>
    <t>EWS</t>
  </si>
  <si>
    <t>EWL</t>
  </si>
  <si>
    <t>EWN</t>
  </si>
  <si>
    <t>FM</t>
  </si>
  <si>
    <t>VEU</t>
  </si>
  <si>
    <t>SPEU</t>
  </si>
  <si>
    <t>EWU</t>
  </si>
  <si>
    <t>EWJ</t>
  </si>
  <si>
    <t>EWC</t>
  </si>
  <si>
    <t>EWY</t>
  </si>
  <si>
    <t>EWG</t>
  </si>
  <si>
    <t>EWW</t>
  </si>
  <si>
    <t>EWQ</t>
  </si>
  <si>
    <t>EWZ</t>
  </si>
  <si>
    <t>EIS</t>
  </si>
  <si>
    <t>KSA</t>
  </si>
  <si>
    <t>UAE</t>
  </si>
  <si>
    <t>GLD</t>
  </si>
  <si>
    <t>FXB</t>
  </si>
  <si>
    <t>CEW</t>
  </si>
  <si>
    <t>FXA</t>
  </si>
  <si>
    <t>FXE</t>
  </si>
  <si>
    <t>FXC</t>
  </si>
  <si>
    <t>FXY</t>
  </si>
  <si>
    <t>FXF</t>
  </si>
  <si>
    <t>UUP</t>
  </si>
  <si>
    <t>LTC</t>
  </si>
  <si>
    <t>BOAT</t>
  </si>
  <si>
    <t>RSPU</t>
  </si>
  <si>
    <t>RSPG</t>
  </si>
  <si>
    <t>RSPM</t>
  </si>
  <si>
    <t>RSPN</t>
  </si>
  <si>
    <t>RSPT</t>
  </si>
  <si>
    <t>RSPF</t>
  </si>
  <si>
    <t>RSPC</t>
  </si>
  <si>
    <t>RSPH</t>
  </si>
  <si>
    <t>RSPD</t>
  </si>
  <si>
    <t>RSPS</t>
  </si>
  <si>
    <t>RSPR</t>
  </si>
  <si>
    <t>NLR</t>
  </si>
  <si>
    <t>ETF</t>
  </si>
  <si>
    <t>VIXY</t>
  </si>
  <si>
    <t>UVXY</t>
  </si>
  <si>
    <t>UVIX</t>
  </si>
  <si>
    <t>SPXS</t>
  </si>
  <si>
    <t>TZA</t>
  </si>
  <si>
    <t>SQQQ</t>
  </si>
  <si>
    <t>FNGD</t>
  </si>
  <si>
    <t>Price</t>
  </si>
  <si>
    <t>Change</t>
  </si>
  <si>
    <t>TKT_DATA</t>
  </si>
  <si>
    <t>Index</t>
  </si>
  <si>
    <t>IBIT</t>
  </si>
  <si>
    <t>EPI</t>
  </si>
  <si>
    <t>FEZ</t>
  </si>
  <si>
    <t>MAGX</t>
  </si>
  <si>
    <t>VIX</t>
  </si>
  <si>
    <t>DXYZ</t>
  </si>
  <si>
    <t>VXF</t>
  </si>
  <si>
    <t>QQQJ</t>
  </si>
  <si>
    <t>ETHA</t>
  </si>
  <si>
    <t>QTUM</t>
  </si>
  <si>
    <t>NUKZ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</si>
</sst>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0" fontId="0" fillId="0" borderId="0" xfId="0" applyNumberFormat="1"/>
    <xf numFmtId="0" fontId="1" fillId="0" borderId="0" xfId="0" applyFont="1"/>
  </cellXfs>
  <cellStyles count="1">
    <cellStyle name="Normal" xfId="0" builtinId="0"/>
  </cellStyles>
  <dxfs count="38">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ichStyles" Target="richData/richStyl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microsoft.com/office/2017/06/relationships/rdSupportingPropertyBag" Target="richData/rdsupportingpropertybag.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SupportingPropertyBagStructure" Target="richData/rdsupportingpropertybagstructure.xml"/><Relationship Id="rId30"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90">
  <rv s="0">
    <v>https://www.bing.com/financeapi/forcetrigger?t=a23hqh&amp;q=ARCX%3aSPY&amp;form=skydnc</v>
    <v>Learn more on Bing</v>
  </rv>
  <rv s="1">
    <v>en-US</v>
    <v>a23hqh</v>
    <v>268435456</v>
    <v>1</v>
    <v>Powered by Refinitiv</v>
    <v>0</v>
    <v>SPDR S&amp;P 500 (ARCX:SPY)</v>
    <v>2</v>
    <v>3</v>
    <v>Finance</v>
    <v>4</v>
    <v>613.23</v>
    <v>481.8</v>
    <v>0.99819999999999998</v>
    <v>0.54</v>
    <v>3.502E-4</v>
    <v>9.0130000000000006E-4</v>
    <v>0.21</v>
    <v>USD</v>
    <v>NYSE Arca</v>
    <v>ARCX</v>
    <v>9.4499999999999998E-4</v>
    <v>601.25</v>
    <v>ETF</v>
    <v>45817.999994791404</v>
    <v>0</v>
    <v>598.49</v>
    <v>603516970575.17004</v>
    <v>SPDR S&amp;P 500</v>
    <v>599.72</v>
    <v>599.14</v>
    <v>599.67999999999995</v>
    <v>599.89</v>
    <v>SPY</v>
    <v>SPDR S&amp;P 500 (ARCX:SPY)</v>
    <v>53016418</v>
    <v>64803644</v>
  </rv>
  <rv s="2">
    <v>1</v>
  </rv>
  <rv s="0">
    <v>https://www.bing.com/financeapi/forcetrigger?t=a21mim&amp;q=XNAS%3aQQQ&amp;form=skydnc</v>
    <v>Learn more on Bing</v>
  </rv>
  <rv s="1">
    <v>en-US</v>
    <v>a21mim</v>
    <v>268435456</v>
    <v>1</v>
    <v>Powered by Refinitiv</v>
    <v>0</v>
    <v>Invesco QQQ Trust 1 (XNAS:QQQ)</v>
    <v>2</v>
    <v>3</v>
    <v>Finance</v>
    <v>4</v>
    <v>540.80999999999995</v>
    <v>402.39</v>
    <v>1.0462</v>
    <v>0.78</v>
    <v>6.9720000000000003E-4</v>
    <v>1.472E-3</v>
    <v>0.37</v>
    <v>USD</v>
    <v>Nasdaq Stock Market</v>
    <v>XNAS</v>
    <v>2E-3</v>
    <v>532.35</v>
    <v>ETF</v>
    <v>45817.999945126561</v>
    <v>3</v>
    <v>529.01</v>
    <v>333553428494.34003</v>
    <v>Invesco QQQ Trust 1</v>
    <v>530.14</v>
    <v>529.91999999999996</v>
    <v>530.70000000000005</v>
    <v>531.07000000000005</v>
    <v>QQQ</v>
    <v>Invesco QQQ Trust 1 (XNAS:QQQ)</v>
    <v>33688671</v>
    <v>47368386</v>
  </rv>
  <rv s="2">
    <v>4</v>
  </rv>
  <rv s="0">
    <v>https://www.bing.com/financeapi/forcetrigger?t=a1r2c7&amp;q=ARCX%3aDIA&amp;form=skydnc</v>
    <v>Learn more on Bing</v>
  </rv>
  <rv s="1">
    <v>en-US</v>
    <v>a1r2c7</v>
    <v>268435456</v>
    <v>1</v>
    <v>Powered by Refinitiv</v>
    <v>0</v>
    <v>SPDR Dow Jones Indus Avg (ARCX:DIA)</v>
    <v>2</v>
    <v>3</v>
    <v>Finance</v>
    <v>4</v>
    <v>451.55</v>
    <v>366.32</v>
    <v>0.95730000000000004</v>
    <v>-0.02</v>
    <v>4.4359999999999994E-4</v>
    <v>-4.6690000000000002E-5</v>
    <v>0.19</v>
    <v>USD</v>
    <v>NYSE Arca</v>
    <v>ARCX</v>
    <v>1.6000000000000001E-3</v>
    <v>429.72</v>
    <v>ETF</v>
    <v>45817.996611087503</v>
    <v>6</v>
    <v>426.43</v>
    <v>38382734815.220001</v>
    <v>SPDR Dow Jones Indus Avg</v>
    <v>428.52</v>
    <v>428.38</v>
    <v>428.36</v>
    <v>428.55</v>
    <v>DIA</v>
    <v>SPDR Dow Jones Indus Avg (ARCX:DIA)</v>
    <v>2680153</v>
    <v>2600956</v>
  </rv>
  <rv s="2">
    <v>7</v>
  </rv>
  <rv s="0">
    <v>https://www.bing.com/financeapi/forcetrigger?t=a1vxfr&amp;q=ARCX%3aIWM&amp;form=skydnc</v>
    <v>Learn more on Bing</v>
  </rv>
  <rv s="1">
    <v>en-US</v>
    <v>a1vxfr</v>
    <v>268435456</v>
    <v>1</v>
    <v>Powered by Refinitiv</v>
    <v>0</v>
    <v>iShares:Russ 2000 ETF (ARCX:IWM)</v>
    <v>2</v>
    <v>3</v>
    <v>Finance</v>
    <v>4</v>
    <v>244.98</v>
    <v>171.73</v>
    <v>0.99939999999999996</v>
    <v>1.46</v>
    <v>6.5659999999999991E-4</v>
    <v>6.8899999999999994E-3</v>
    <v>0.1401</v>
    <v>USD</v>
    <v>NYSE Arca</v>
    <v>ARCX</v>
    <v>1.9E-3</v>
    <v>214.28</v>
    <v>ETF</v>
    <v>45817.999960971872</v>
    <v>9</v>
    <v>212.55</v>
    <v>62108318368.989998</v>
    <v>iShares:Russ 2000 ETF</v>
    <v>213.87</v>
    <v>211.9</v>
    <v>213.36</v>
    <v>213.5001</v>
    <v>IWM</v>
    <v>iShares:Russ 2000 ETF (ARCX:IWM)</v>
    <v>33984448</v>
    <v>29194425</v>
  </rv>
  <rv s="2">
    <v>10</v>
  </rv>
  <rv s="0">
    <v>https://www.bing.com/financeapi/forcetrigger?t=a1vbbh&amp;q=XNAS%3aIEF&amp;form=skydnc</v>
    <v>Learn more on Bing</v>
  </rv>
  <rv s="1">
    <v>en-US</v>
    <v>a1vbbh</v>
    <v>268435456</v>
    <v>1</v>
    <v>Powered by Refinitiv</v>
    <v>0</v>
    <v>iShares:7-10 Trs Bd (XNAS:IEF)</v>
    <v>2</v>
    <v>3</v>
    <v>Finance</v>
    <v>4</v>
    <v>99.18</v>
    <v>91.08</v>
    <v>1.1986000000000001</v>
    <v>0.17</v>
    <v>1.067E-3</v>
    <v>1.818E-3</v>
    <v>0.1</v>
    <v>USD</v>
    <v>Nasdaq Stock Market</v>
    <v>XNAS</v>
    <v>1.5E-3</v>
    <v>93.8</v>
    <v>ETF</v>
    <v>45817.987636075784</v>
    <v>12</v>
    <v>93.51</v>
    <v>34938197468.57</v>
    <v>iShares:7-10 Trs Bd</v>
    <v>93.515000000000001</v>
    <v>93.51</v>
    <v>93.68</v>
    <v>93.78</v>
    <v>IEF</v>
    <v>iShares:7-10 Trs Bd (XNAS:IEF)</v>
    <v>6061417</v>
    <v>9246588</v>
  </rv>
  <rv s="2">
    <v>13</v>
  </rv>
  <rv s="3">
    <v>en-US</v>
    <v>cc5pdm</v>
    <v>268435456</v>
    <v>1</v>
    <v>Powered by Refinitiv</v>
    <v>5</v>
    <v>iShares Bitcoin Trust (XNAS:IBIT)</v>
    <v>6</v>
    <v>7</v>
    <v>Finance</v>
    <v>4</v>
    <v>63.7</v>
    <v>28.23</v>
    <v>2.5099999999999998</v>
    <v>1.4894000000000001E-2</v>
    <v>4.2355999999999998E-2</v>
    <v>0.92</v>
    <v>USD</v>
    <v>Nasdaq Stock Market</v>
    <v>XNAS</v>
    <v>2.2000000000000001E-3</v>
    <v>61.86</v>
    <v>ETF</v>
    <v>45817.999988517971</v>
    <v>60.78</v>
    <v>69644295718.279999</v>
    <v>iShares Bitcoin Trust</v>
    <v>61.13</v>
    <v>59.26</v>
    <v>61.77</v>
    <v>62.69</v>
    <v>IBIT</v>
    <v>iShares Bitcoin Trust (XNAS:IBIT)</v>
    <v>43950313</v>
    <v>45359802</v>
  </rv>
  <rv s="2">
    <v>15</v>
  </rv>
  <rv s="0">
    <v>https://www.bing.com/financeapi/forcetrigger?t=a253hw&amp;q=ARCX%3aUSO&amp;form=skydnc</v>
    <v>Learn more on Bing</v>
  </rv>
  <rv s="1">
    <v>en-US</v>
    <v>a253hw</v>
    <v>268435456</v>
    <v>1</v>
    <v>Powered by Refinitiv</v>
    <v>0</v>
    <v>United States Oil Fund (ARCX:USO)</v>
    <v>2</v>
    <v>3</v>
    <v>Finance</v>
    <v>4</v>
    <v>84.58</v>
    <v>60.67</v>
    <v>1.0106999999999999</v>
    <v>0.67</v>
    <v>1.3600000000000001E-3</v>
    <v>9.3860000000000002E-3</v>
    <v>9.8000000000000004E-2</v>
    <v>USD</v>
    <v>NYSE Arca</v>
    <v>ARCX</v>
    <v>8.199999999999999E-3</v>
    <v>72.174999999999997</v>
    <v>ETF</v>
    <v>45817.998302418753</v>
    <v>17</v>
    <v>71.08</v>
    <v>907023086.16999996</v>
    <v>United States Oil Fund</v>
    <v>71.400000000000006</v>
    <v>71.38</v>
    <v>72.05</v>
    <v>72.147999999999996</v>
    <v>USO</v>
    <v>United States Oil Fund (ARCX:USO)</v>
    <v>2893872</v>
    <v>4794487</v>
  </rv>
  <rv s="2">
    <v>18</v>
  </rv>
  <rv s="0">
    <v>https://www.bing.com/financeapi/forcetrigger?t=a1ssk2&amp;q=ARCX%3aFEZ&amp;form=skydnc</v>
    <v>Learn more on Bing</v>
  </rv>
  <rv s="1">
    <v>en-US</v>
    <v>a1ssk2</v>
    <v>268435456</v>
    <v>1</v>
    <v>Powered by Refinitiv</v>
    <v>0</v>
    <v>SPDR EURO STOXX 50 (ARCX:FEZ)</v>
    <v>2</v>
    <v>3</v>
    <v>Finance</v>
    <v>4</v>
    <v>60.314999999999998</v>
    <v>47.11</v>
    <v>1.1062000000000001</v>
    <v>-0.08</v>
    <v>8.3250000000000002E-4</v>
    <v>-1.33E-3</v>
    <v>0.05</v>
    <v>USD</v>
    <v>NYSE Arca</v>
    <v>ARCX</v>
    <v>2.8999999999999998E-3</v>
    <v>60.29</v>
    <v>ETF</v>
    <v>45818.000000022657</v>
    <v>20</v>
    <v>59.85</v>
    <v>4601764993.9399996</v>
    <v>SPDR EURO STOXX 50</v>
    <v>59.87</v>
    <v>60.14</v>
    <v>60.06</v>
    <v>60.11</v>
    <v>FEZ</v>
    <v>SPDR EURO STOXX 50 (ARCX:FEZ)</v>
    <v>766368</v>
    <v>1354187</v>
  </rv>
  <rv s="2">
    <v>21</v>
  </rv>
  <rv s="0">
    <v>https://www.bing.com/financeapi/forcetrigger?t=a1sfkr&amp;q=ARCX%3aEWJ&amp;form=skydnc</v>
    <v>Learn more on Bing</v>
  </rv>
  <rv s="1">
    <v>en-US</v>
    <v>a1sfkr</v>
    <v>268435456</v>
    <v>1</v>
    <v>Powered by Refinitiv</v>
    <v>0</v>
    <v>iShares:MSCI Japan (ARCX:EWJ)</v>
    <v>2</v>
    <v>3</v>
    <v>Finance</v>
    <v>4</v>
    <v>75.045000000000002</v>
    <v>59.84</v>
    <v>1.0065</v>
    <v>0.11</v>
    <v>-1.8940000000000001E-3</v>
    <v>1.49E-3</v>
    <v>-0.14000000000000001</v>
    <v>USD</v>
    <v>NYSE Arca</v>
    <v>ARCX</v>
    <v>5.0000000000000001E-3</v>
    <v>74.13</v>
    <v>ETF</v>
    <v>45818.000000046093</v>
    <v>23</v>
    <v>73.885000000000005</v>
    <v>15050817140.9</v>
    <v>iShares:MSCI Japan</v>
    <v>74</v>
    <v>73.819999999999993</v>
    <v>73.930000000000007</v>
    <v>73.790000000000006</v>
    <v>EWJ</v>
    <v>iShares:MSCI Japan (ARCX:EWJ)</v>
    <v>3937883</v>
    <v>4787278</v>
  </rv>
  <rv s="2">
    <v>24</v>
  </rv>
  <rv s="0">
    <v>https://www.bing.com/financeapi/forcetrigger?t=a1s2ww&amp;q=ARCX%3aEPI&amp;form=skydnc</v>
    <v>Learn more on Bing</v>
  </rv>
  <rv s="1">
    <v>en-US</v>
    <v>a1s2ww</v>
    <v>268435456</v>
    <v>1</v>
    <v>Powered by Refinitiv</v>
    <v>0</v>
    <v>WisdomTree:India Earns (ARCX:EPI)</v>
    <v>2</v>
    <v>3</v>
    <v>Finance</v>
    <v>4</v>
    <v>50.99</v>
    <v>39.979999999999997</v>
    <v>0.9083</v>
    <v>0.33</v>
    <v>1.8290000000000001E-2</v>
    <v>7.0679999999999996E-3</v>
    <v>0.86</v>
    <v>USD</v>
    <v>NYSE Arca</v>
    <v>ARCX</v>
    <v>8.6999999999999994E-3</v>
    <v>47.085000000000001</v>
    <v>ETF</v>
    <v>45817.999738506252</v>
    <v>26</v>
    <v>46.881300000000003</v>
    <v>3296745275.4899998</v>
    <v>WisdomTree:India Earns</v>
    <v>46.9</v>
    <v>46.69</v>
    <v>47.02</v>
    <v>47.88</v>
    <v>EPI</v>
    <v>WisdomTree:India Earns (ARCX:EPI)</v>
    <v>694179</v>
    <v>986577</v>
  </rv>
  <rv s="2">
    <v>27</v>
  </rv>
  <rv s="0">
    <v>https://www.bing.com/financeapi/forcetrigger?t=a1tkf2&amp;q=ARCX%3aFXI&amp;form=skydnc</v>
    <v>Learn more on Bing</v>
  </rv>
  <rv s="1">
    <v>en-US</v>
    <v>a1tkf2</v>
    <v>268435456</v>
    <v>1</v>
    <v>Powered by Refinitiv</v>
    <v>0</v>
    <v>iShares:China Large Cp (ARCX:FXI)</v>
    <v>2</v>
    <v>3</v>
    <v>Finance</v>
    <v>4</v>
    <v>38.729999999999997</v>
    <v>24.59</v>
    <v>1.238</v>
    <v>0.47</v>
    <v>1.0789999999999999E-3</v>
    <v>1.2845000000000001E-2</v>
    <v>0.04</v>
    <v>USD</v>
    <v>NYSE Arca</v>
    <v>ARCX</v>
    <v>7.4000000000000003E-3</v>
    <v>37.119999999999997</v>
    <v>ETF</v>
    <v>45817.998489710153</v>
    <v>29</v>
    <v>36.844999999999999</v>
    <v>5969947631.2799997</v>
    <v>iShares:China Large Cp</v>
    <v>36.89</v>
    <v>36.590000000000003</v>
    <v>37.06</v>
    <v>37.1</v>
    <v>FXI</v>
    <v>iShares:China Large Cp (ARCX:FXI)</v>
    <v>30061655</v>
    <v>36282489</v>
  </rv>
  <rv s="2">
    <v>30</v>
  </rv>
  <rv s="0">
    <v>https://www.bing.com/financeapi/forcetrigger?t=a1sezr&amp;q=ARCX%3aEWC&amp;form=skydnc</v>
    <v>Learn more on Bing</v>
  </rv>
  <rv s="1">
    <v>en-US</v>
    <v>a1sezr</v>
    <v>268435456</v>
    <v>1</v>
    <v>Powered by Refinitiv</v>
    <v>0</v>
    <v>iShares:MSCI Canada (ARCX:EWC)</v>
    <v>2</v>
    <v>3</v>
    <v>Finance</v>
    <v>4</v>
    <v>45.615000000000002</v>
    <v>35.74</v>
    <v>1.101</v>
    <v>-0.09</v>
    <v>2.2079999999999999E-3</v>
    <v>-1.983E-3</v>
    <v>0.1</v>
    <v>USD</v>
    <v>NYSE Arca</v>
    <v>ARCX</v>
    <v>5.0000000000000001E-3</v>
    <v>45.499299999999998</v>
    <v>ETF</v>
    <v>45818.000000034372</v>
    <v>32</v>
    <v>45.18</v>
    <v>3021176862.3699999</v>
    <v>iShares:MSCI Canada</v>
    <v>45.45</v>
    <v>45.39</v>
    <v>45.3</v>
    <v>45.4</v>
    <v>EWC</v>
    <v>iShares:MSCI Canada (ARCX:EWC)</v>
    <v>1651928</v>
    <v>2018738</v>
  </rv>
  <rv s="2">
    <v>33</v>
  </rv>
  <rv s="0">
    <v>https://www.bing.com/financeapi/forcetrigger?t=a1sgvh&amp;q=ARCX%3aEWW&amp;form=skydnc</v>
    <v>Learn more on Bing</v>
  </rv>
  <rv s="1">
    <v>en-US</v>
    <v>a1sgvh</v>
    <v>268435456</v>
    <v>1</v>
    <v>Powered by Refinitiv</v>
    <v>0</v>
    <v>iShares:MSCI Mexico (ARCX:EWW)</v>
    <v>2</v>
    <v>3</v>
    <v>Finance</v>
    <v>4</v>
    <v>62.325000000000003</v>
    <v>46.41</v>
    <v>0.81269999999999998</v>
    <v>-0.15</v>
    <v>1.8010000000000001E-3</v>
    <v>-2.4490000000000002E-3</v>
    <v>0.11</v>
    <v>USD</v>
    <v>NYSE Arca</v>
    <v>ARCX</v>
    <v>5.0000000000000001E-3</v>
    <v>61.63</v>
    <v>ETF</v>
    <v>45818.000000022657</v>
    <v>35</v>
    <v>61.05</v>
    <v>1941543633.5799999</v>
    <v>iShares:MSCI Mexico</v>
    <v>61.59</v>
    <v>61.24</v>
    <v>61.09</v>
    <v>61.2</v>
    <v>EWW</v>
    <v>iShares:MSCI Mexico (ARCX:EWW)</v>
    <v>1150703</v>
    <v>1939731</v>
  </rv>
  <rv s="2">
    <v>36</v>
  </rv>
  <rv s="0">
    <v>https://www.bing.com/financeapi/forcetrigger?t=a33pk2&amp;q=CBOE+MKT+VOLATILITY+IDX&amp;form=skydnc</v>
    <v>Learn more on Bing</v>
  </rv>
  <rv s="4">
    <v>en-US</v>
    <v>a33pk2</v>
    <v>268435456</v>
    <v>1</v>
    <v>Powered by Refinitiv</v>
    <v>8</v>
    <v>CBOE MKT VOLATILITY IDX</v>
    <v>2</v>
    <v>9</v>
    <v>Finance</v>
    <v>10</v>
    <v>65.73</v>
    <v>10.62</v>
    <v>0.39</v>
    <v>2.3256000000000002E-2</v>
    <v>US</v>
    <v>17.72</v>
    <v>Index</v>
    <v>38</v>
    <v>16.82</v>
    <v>CBOE MKT VOLATILITY IDX</v>
    <v>17.690000000000001</v>
    <v>16.77</v>
    <v>17.16</v>
    <v>VIX</v>
    <v>CBOE MKT VOLATILITY IDX</v>
  </rv>
  <rv s="2">
    <v>39</v>
  </rv>
  <rv s="0">
    <v>https://www.bing.com/financeapi/forcetrigger?t=a1xghw&amp;q=ARCX%3aMDY&amp;form=skydnc</v>
    <v>Learn more on Bing</v>
  </rv>
  <rv s="1">
    <v>en-US</v>
    <v>a1xghw</v>
    <v>268435456</v>
    <v>1</v>
    <v>Powered by Refinitiv</v>
    <v>0</v>
    <v>SPDR S&amp;P MidCap 400 (ARCX:MDY)</v>
    <v>2</v>
    <v>3</v>
    <v>Finance</v>
    <v>4</v>
    <v>624.125</v>
    <v>458.82</v>
    <v>0.99450000000000005</v>
    <v>1.49</v>
    <v>0</v>
    <v>2.6690000000000004E-3</v>
    <v>0</v>
    <v>USD</v>
    <v>NYSE Arca</v>
    <v>ARCX</v>
    <v>2.3E-3</v>
    <v>562.80999999999995</v>
    <v>ETF</v>
    <v>45818.000000485939</v>
    <v>41</v>
    <v>557.47</v>
    <v>21974482779.889999</v>
    <v>SPDR S&amp;P MidCap 400</v>
    <v>560.53</v>
    <v>558.36</v>
    <v>559.85</v>
    <v>559.85</v>
    <v>MDY</v>
    <v>SPDR S&amp;P MidCap 400 (ARCX:MDY)</v>
    <v>853853</v>
    <v>714900</v>
  </rv>
  <rv s="2">
    <v>42</v>
  </rv>
  <rv s="0">
    <v>https://www.bing.com/financeapi/forcetrigger?t=a1z91h&amp;q=XNAS%3aONEQ&amp;form=skydnc</v>
    <v>Learn more on Bing</v>
  </rv>
  <rv s="1">
    <v>en-US</v>
    <v>a1z91h</v>
    <v>268435456</v>
    <v>1</v>
    <v>Powered by Refinitiv</v>
    <v>0</v>
    <v>Fidelity Nasd Composite (XNAS:ONEQ)</v>
    <v>2</v>
    <v>3</v>
    <v>Finance</v>
    <v>4</v>
    <v>79.749899999999997</v>
    <v>58.12</v>
    <v>1.0417000000000001</v>
    <v>0.32</v>
    <v>0</v>
    <v>4.1599999999999996E-3</v>
    <v>0</v>
    <v>USD</v>
    <v>Nasdaq Stock Market</v>
    <v>XNAS</v>
    <v>2.0999999999999999E-3</v>
    <v>77.38</v>
    <v>ETF</v>
    <v>45817.952010971872</v>
    <v>44</v>
    <v>76.870099999999994</v>
    <v>7565433963.7799997</v>
    <v>Fidelity Nasd Composite</v>
    <v>77.16</v>
    <v>76.92</v>
    <v>77.239999999999995</v>
    <v>77.239999999999995</v>
    <v>ONEQ</v>
    <v>Fidelity Nasd Composite (XNAS:ONEQ)</v>
    <v>225318</v>
    <v>296887</v>
  </rv>
  <rv s="2">
    <v>45</v>
  </rv>
  <rv s="0">
    <v>https://www.bing.com/financeapi/forcetrigger?t=a1vx4c&amp;q=ARCX%3aIWC&amp;form=skydnc</v>
    <v>Learn more on Bing</v>
  </rv>
  <rv s="1">
    <v>en-US</v>
    <v>a1vx4c</v>
    <v>268435456</v>
    <v>1</v>
    <v>Powered by Refinitiv</v>
    <v>0</v>
    <v>iShares:Micro-Cap (ARCX:IWC)</v>
    <v>2</v>
    <v>3</v>
    <v>Finance</v>
    <v>4</v>
    <v>139.97999999999999</v>
    <v>95.250100000000003</v>
    <v>1.0295000000000001</v>
    <v>0.98799999999999999</v>
    <v>0</v>
    <v>7.8759999999999993E-3</v>
    <v>0</v>
    <v>USD</v>
    <v>NYSE Arca</v>
    <v>ARCX</v>
    <v>6.0000000000000001E-3</v>
    <v>126.52</v>
    <v>ETF</v>
    <v>45818.000000647655</v>
    <v>47</v>
    <v>125.53</v>
    <v>775399011.13</v>
    <v>iShares:Micro-Cap</v>
    <v>126.52</v>
    <v>125.452</v>
    <v>126.44</v>
    <v>126.44</v>
    <v>IWC</v>
    <v>iShares:Micro-Cap (ARCX:IWC)</v>
    <v>36380</v>
    <v>53122</v>
  </rv>
  <rv s="2">
    <v>48</v>
  </rv>
  <rv s="0">
    <v>https://www.bing.com/financeapi/forcetrigger?t=a267zr&amp;q=ARCX%3aXLK&amp;form=skydnc</v>
    <v>Learn more on Bing</v>
  </rv>
  <rv s="1">
    <v>en-US</v>
    <v>a267zr</v>
    <v>268435456</v>
    <v>1</v>
    <v>Powered by Refinitiv</v>
    <v>0</v>
    <v>Sel Sector:Tech SPDR (ARCX:XLK)</v>
    <v>2</v>
    <v>11</v>
    <v>Finance</v>
    <v>4</v>
    <v>243.14</v>
    <v>172.45</v>
    <v>0.97499999999999998</v>
    <v>1.17</v>
    <v>1.127E-3</v>
    <v>4.9090000000000002E-3</v>
    <v>0.27</v>
    <v>USD</v>
    <v>NYSE Arca</v>
    <v>ARCX</v>
    <v>8.0000000000000004E-4</v>
    <v>241.01</v>
    <v>ETF</v>
    <v>45818</v>
    <v>50</v>
    <v>239.11</v>
    <v>72172849682.440002</v>
    <v>Sel Sector:Tech SPDR</v>
    <v>239.29</v>
    <v>238.36</v>
    <v>239.53</v>
    <v>239.8</v>
    <v>XLK</v>
    <v>Sel Sector:Tech SPDR (ARCX:XLK)</v>
    <v>5550469</v>
    <v>5616855</v>
  </rv>
  <rv s="2">
    <v>51</v>
  </rv>
  <rv s="0">
    <v>https://www.bing.com/financeapi/forcetrigger?t=a267ww&amp;q=ARCX%3aXLI&amp;form=skydnc</v>
    <v>Learn more on Bing</v>
  </rv>
  <rv s="1">
    <v>en-US</v>
    <v>a267ww</v>
    <v>268435456</v>
    <v>1</v>
    <v>Powered by Refinitiv</v>
    <v>0</v>
    <v>Sel Sector:Indust SPDR (ARCX:XLI)</v>
    <v>2</v>
    <v>3</v>
    <v>Finance</v>
    <v>4</v>
    <v>145.56</v>
    <v>112.75</v>
    <v>0.99980000000000002</v>
    <v>-0.13</v>
    <v>3.4529999999999999E-4</v>
    <v>-8.9700000000000001E-4</v>
    <v>0.05</v>
    <v>USD</v>
    <v>NYSE Arca</v>
    <v>ARCX</v>
    <v>8.0000000000000004E-4</v>
    <v>145.52000000000001</v>
    <v>ETF</v>
    <v>45818.000000022657</v>
    <v>53</v>
    <v>144.51499999999999</v>
    <v>21260635790.759998</v>
    <v>Sel Sector:Indust SPDR</v>
    <v>145.31</v>
    <v>144.93</v>
    <v>144.80000000000001</v>
    <v>144.85</v>
    <v>XLI</v>
    <v>Sel Sector:Indust SPDR (ARCX:XLI)</v>
    <v>9162862</v>
    <v>8548376</v>
  </rv>
  <rv s="2">
    <v>54</v>
  </rv>
  <rv s="0">
    <v>https://www.bing.com/financeapi/forcetrigger?t=a267lh&amp;q=ARCX%3aXLB&amp;form=skydnc</v>
    <v>Learn more on Bing</v>
  </rv>
  <rv s="1">
    <v>en-US</v>
    <v>a267lh</v>
    <v>268435456</v>
    <v>1</v>
    <v>Powered by Refinitiv</v>
    <v>0</v>
    <v>Sel Sector:Matrls SPDR (ARCX:XLB)</v>
    <v>2</v>
    <v>3</v>
    <v>Finance</v>
    <v>4</v>
    <v>97.87</v>
    <v>73.12</v>
    <v>0.99890000000000001</v>
    <v>0.59</v>
    <v>2.3760000000000001E-3</v>
    <v>6.7210000000000004E-3</v>
    <v>0.21</v>
    <v>USD</v>
    <v>NYSE Arca</v>
    <v>ARCX</v>
    <v>8.0000000000000004E-4</v>
    <v>88.95</v>
    <v>ETF</v>
    <v>45818.000000022657</v>
    <v>56</v>
    <v>87.89</v>
    <v>4785805441.1199999</v>
    <v>Sel Sector:Matrls SPDR</v>
    <v>87.99</v>
    <v>87.78</v>
    <v>88.37</v>
    <v>88.58</v>
    <v>XLB</v>
    <v>Sel Sector:Matrls SPDR (ARCX:XLB)</v>
    <v>5833485</v>
    <v>4517315</v>
  </rv>
  <rv s="2">
    <v>57</v>
  </rv>
  <rv s="0">
    <v>https://www.bing.com/financeapi/forcetrigger?t=b1hbp2&amp;q=ARCX%3aXLC&amp;form=skydnc</v>
    <v>Learn more on Bing</v>
  </rv>
  <rv s="1">
    <v>en-US</v>
    <v>b1hbp2</v>
    <v>268435456</v>
    <v>1</v>
    <v>Powered by Refinitiv</v>
    <v>0</v>
    <v>Sel Sector:Comm Svc SPDR (ARCX:XLC)</v>
    <v>2</v>
    <v>3</v>
    <v>Finance</v>
    <v>4</v>
    <v>105.58</v>
    <v>81.150000000000006</v>
    <v>0.82350000000000001</v>
    <v>-0.3</v>
    <v>-9.6699999999999992E-5</v>
    <v>-2.8930000000000002E-3</v>
    <v>-0.01</v>
    <v>USD</v>
    <v>NYSE Arca</v>
    <v>ARCX</v>
    <v>8.0000000000000004E-4</v>
    <v>104.29</v>
    <v>ETF</v>
    <v>45818.000000022657</v>
    <v>59</v>
    <v>103.31</v>
    <v>21914308310.75</v>
    <v>Sel Sector:Comm Svc SPDR</v>
    <v>104.08</v>
    <v>103.71</v>
    <v>103.41</v>
    <v>103.4</v>
    <v>XLC</v>
    <v>Sel Sector:Comm Svc SPDR (ARCX:XLC)</v>
    <v>6371294</v>
    <v>4433001</v>
  </rv>
  <rv s="2">
    <v>60</v>
  </rv>
  <rv s="0">
    <v>https://www.bing.com/financeapi/forcetrigger?t=a268kr&amp;q=ARCX%3aXLY&amp;form=skydnc</v>
    <v>Learn more on Bing</v>
  </rv>
  <rv s="1">
    <v>en-US</v>
    <v>a268kr</v>
    <v>268435456</v>
    <v>1</v>
    <v>Powered by Refinitiv</v>
    <v>0</v>
    <v>Sel Sector:C Dsc SPDR (ARCX:XLY)</v>
    <v>2</v>
    <v>3</v>
    <v>Finance</v>
    <v>4</v>
    <v>240.28</v>
    <v>166.48</v>
    <v>0.97140000000000004</v>
    <v>1.7</v>
    <v>2.104E-3</v>
    <v>8.012E-3</v>
    <v>0.45</v>
    <v>USD</v>
    <v>NYSE Arca</v>
    <v>ARCX</v>
    <v>8.0000000000000004E-4</v>
    <v>214.27</v>
    <v>ETF</v>
    <v>45818.000000034372</v>
    <v>62</v>
    <v>210.24</v>
    <v>21446311186.040001</v>
    <v>Sel Sector:C Dsc SPDR</v>
    <v>211.44</v>
    <v>212.17</v>
    <v>213.87</v>
    <v>214.32</v>
    <v>XLY</v>
    <v>Sel Sector:C Dsc SPDR (ARCX:XLY)</v>
    <v>5298192</v>
    <v>3943478</v>
  </rv>
  <rv s="2">
    <v>63</v>
  </rv>
  <rv s="0">
    <v>https://www.bing.com/financeapi/forcetrigger?t=a267oc&amp;q=ARCX%3aXLE&amp;form=skydnc</v>
    <v>Learn more on Bing</v>
  </rv>
  <rv s="1">
    <v>en-US</v>
    <v>a267oc</v>
    <v>268435456</v>
    <v>1</v>
    <v>Powered by Refinitiv</v>
    <v>0</v>
    <v>Sel Sector:Energy SPDR (ARCX:XLE)</v>
    <v>2</v>
    <v>3</v>
    <v>Finance</v>
    <v>4</v>
    <v>97.92</v>
    <v>74.489999999999995</v>
    <v>1.1512</v>
    <v>0.16</v>
    <v>1.781E-3</v>
    <v>1.918E-3</v>
    <v>0.14879999999999999</v>
    <v>USD</v>
    <v>NYSE Arca</v>
    <v>ARCX</v>
    <v>8.0000000000000004E-4</v>
    <v>84.44</v>
    <v>ETF</v>
    <v>45818.000000034372</v>
    <v>65</v>
    <v>83.075000000000003</v>
    <v>26272594348.98</v>
    <v>Sel Sector:Energy SPDR</v>
    <v>83.74</v>
    <v>83.41</v>
    <v>83.57</v>
    <v>83.718800000000002</v>
    <v>XLE</v>
    <v>Sel Sector:Energy SPDR (ARCX:XLE)</v>
    <v>14340165</v>
    <v>13589275</v>
  </rv>
  <rv s="2">
    <v>66</v>
  </rv>
  <rv s="0">
    <v>https://www.bing.com/financeapi/forcetrigger?t=a268hw&amp;q=ARCX%3aXLV&amp;form=skydnc</v>
    <v>Learn more on Bing</v>
  </rv>
  <rv s="1">
    <v>en-US</v>
    <v>a268hw</v>
    <v>268435456</v>
    <v>1</v>
    <v>Powered by Refinitiv</v>
    <v>0</v>
    <v>Sel Sector:H Care SPDR (ARCX:XLV)</v>
    <v>2</v>
    <v>3</v>
    <v>Finance</v>
    <v>4</v>
    <v>159.63999999999999</v>
    <v>127.35</v>
    <v>1.0046999999999999</v>
    <v>-0.23</v>
    <v>2.2360000000000001E-3</v>
    <v>-1.712E-3</v>
    <v>0.3</v>
    <v>USD</v>
    <v>NYSE Arca</v>
    <v>ARCX</v>
    <v>8.0000000000000004E-4</v>
    <v>134.81</v>
    <v>ETF</v>
    <v>45818.000000948436</v>
    <v>68</v>
    <v>133.38999999999999</v>
    <v>34513385123.790001</v>
    <v>Sel Sector:H Care SPDR</v>
    <v>134.35</v>
    <v>134.38</v>
    <v>134.15</v>
    <v>134.44999999999999</v>
    <v>XLV</v>
    <v>Sel Sector:H Care SPDR (ARCX:XLV)</v>
    <v>9976863</v>
    <v>12089069</v>
  </rv>
  <rv s="2">
    <v>69</v>
  </rv>
  <rv s="0">
    <v>https://www.bing.com/financeapi/forcetrigger?t=a267r7&amp;q=ARCX%3aXLF&amp;form=skydnc</v>
    <v>Learn more on Bing</v>
  </rv>
  <rv s="1">
    <v>en-US</v>
    <v>a267r7</v>
    <v>268435456</v>
    <v>1</v>
    <v>Powered by Refinitiv</v>
    <v>0</v>
    <v>Sel Sector:Finl S SPDR (ARCX:XLF)</v>
    <v>2</v>
    <v>3</v>
    <v>Finance</v>
    <v>4</v>
    <v>52.634999999999998</v>
    <v>40.369999999999997</v>
    <v>0.99790000000000001</v>
    <v>-0.28000000000000003</v>
    <v>1.5690000000000001E-3</v>
    <v>-5.4600000000000004E-3</v>
    <v>0.08</v>
    <v>USD</v>
    <v>NYSE Arca</v>
    <v>ARCX</v>
    <v>8.0000000000000004E-4</v>
    <v>51.36</v>
    <v>ETF</v>
    <v>45818.000000046093</v>
    <v>71</v>
    <v>50.69</v>
    <v>49631080667.639999</v>
    <v>Sel Sector:Finl S SPDR</v>
    <v>51.34</v>
    <v>51.28</v>
    <v>51</v>
    <v>51.08</v>
    <v>XLF</v>
    <v>Sel Sector:Finl S SPDR (ARCX:XLF)</v>
    <v>28322093</v>
    <v>33807725</v>
  </rv>
  <rv s="2">
    <v>72</v>
  </rv>
  <rv s="0">
    <v>https://www.bing.com/financeapi/forcetrigger?t=a2689c&amp;q=ARCX%3aXLRE&amp;form=skydnc</v>
    <v>Learn more on Bing</v>
  </rv>
  <rv s="1">
    <v>en-US</v>
    <v>a2689c</v>
    <v>268435456</v>
    <v>1</v>
    <v>Powered by Refinitiv</v>
    <v>0</v>
    <v>Sel Sector:Rl Est SPDR (ARCX:XLRE)</v>
    <v>2</v>
    <v>3</v>
    <v>Finance</v>
    <v>4</v>
    <v>45.579900000000002</v>
    <v>35.76</v>
    <v>1.0187999999999999</v>
    <v>-0.02</v>
    <v>2.6279999999999997E-3</v>
    <v>-4.7759999999999995E-4</v>
    <v>0.11</v>
    <v>USD</v>
    <v>NYSE Arca</v>
    <v>ARCX</v>
    <v>8.0000000000000004E-4</v>
    <v>42.134999999999998</v>
    <v>ETF</v>
    <v>45818.000000022657</v>
    <v>74</v>
    <v>41.57</v>
    <v>7403453645.1199999</v>
    <v>Sel Sector:Rl Est SPDR</v>
    <v>41.825000000000003</v>
    <v>41.88</v>
    <v>41.86</v>
    <v>41.97</v>
    <v>XLRE</v>
    <v>Sel Sector:Rl Est SPDR (ARCX:XLRE)</v>
    <v>4581047</v>
    <v>4104943</v>
  </rv>
  <rv s="2">
    <v>75</v>
  </rv>
  <rv s="0">
    <v>https://www.bing.com/financeapi/forcetrigger?t=a268f2&amp;q=ARCX%3aXLU&amp;form=skydnc</v>
    <v>Learn more on Bing</v>
  </rv>
  <rv s="1">
    <v>en-US</v>
    <v>a268f2</v>
    <v>268435456</v>
    <v>1</v>
    <v>Powered by Refinitiv</v>
    <v>0</v>
    <v>Sel Sector:Util SPDR (ARCX:XLU)</v>
    <v>2</v>
    <v>3</v>
    <v>Finance</v>
    <v>4</v>
    <v>83.41</v>
    <v>67.594999999999999</v>
    <v>0.997</v>
    <v>-0.52</v>
    <v>1.488E-3</v>
    <v>-6.4049999999999992E-3</v>
    <v>0.12</v>
    <v>USD</v>
    <v>NYSE Arca</v>
    <v>ARCX</v>
    <v>8.0000000000000004E-4</v>
    <v>81.355000000000004</v>
    <v>ETF</v>
    <v>45818.000000034372</v>
    <v>77</v>
    <v>80.534999999999997</v>
    <v>18748834974.73</v>
    <v>Sel Sector:Util SPDR</v>
    <v>81.05</v>
    <v>81.19</v>
    <v>80.67</v>
    <v>80.790000000000006</v>
    <v>XLU</v>
    <v>Sel Sector:Util SPDR (ARCX:XLU)</v>
    <v>12433632</v>
    <v>11068605</v>
  </rv>
  <rv s="2">
    <v>78</v>
  </rv>
  <rv s="0">
    <v>https://www.bing.com/financeapi/forcetrigger?t=a2686h&amp;q=ARCX%3aXLP&amp;form=skydnc</v>
    <v>Learn more on Bing</v>
  </rv>
  <rv s="1">
    <v>en-US</v>
    <v>a2686h</v>
    <v>268435456</v>
    <v>1</v>
    <v>Powered by Refinitiv</v>
    <v>0</v>
    <v>Sel Sector:C Stp SPDR (ARCX:XLP)</v>
    <v>2</v>
    <v>3</v>
    <v>Finance</v>
    <v>4</v>
    <v>84.53</v>
    <v>75.605000000000004</v>
    <v>0.98070000000000002</v>
    <v>-0.11</v>
    <v>9.6590000000000001E-4</v>
    <v>-1.3469999999999999E-3</v>
    <v>7.8799999999999995E-2</v>
    <v>USD</v>
    <v>NYSE Arca</v>
    <v>ARCX</v>
    <v>8.0000000000000004E-4</v>
    <v>81.83</v>
    <v>ETF</v>
    <v>45818.000000948436</v>
    <v>80</v>
    <v>81.185000000000002</v>
    <v>16393682587.139999</v>
    <v>Sel Sector:C Stp SPDR</v>
    <v>81.56</v>
    <v>81.69</v>
    <v>81.58</v>
    <v>81.658799999999999</v>
    <v>XLP</v>
    <v>Sel Sector:C Stp SPDR (ARCX:XLP)</v>
    <v>13027274</v>
    <v>12671254</v>
  </rv>
  <rv s="2">
    <v>81</v>
  </rv>
  <rv s="0">
    <v>https://www.bing.com/financeapi/forcetrigger?t=a1zjvh&amp;q=ARCX%3aPBW&amp;form=skydnc</v>
    <v>Learn more on Bing</v>
  </rv>
  <rv s="1">
    <v>en-US</v>
    <v>a1zjvh</v>
    <v>268435456</v>
    <v>1</v>
    <v>Powered by Refinitiv</v>
    <v>0</v>
    <v>Invesco WldHill CE (ARCX:PBW)</v>
    <v>2</v>
    <v>11</v>
    <v>Finance</v>
    <v>4</v>
    <v>24.01</v>
    <v>13.19</v>
    <v>0.99219999999999997</v>
    <v>0.72</v>
    <v>2.575E-3</v>
    <v>3.8502999999999996E-2</v>
    <v>0.05</v>
    <v>USD</v>
    <v>NYSE Arca</v>
    <v>ARCX</v>
    <v>6.5000000000000006E-3</v>
    <v>19.59</v>
    <v>ETF</v>
    <v>45818</v>
    <v>83</v>
    <v>19</v>
    <v>292893831.75</v>
    <v>Invesco WldHill CE</v>
    <v>19</v>
    <v>18.7</v>
    <v>19.420000000000002</v>
    <v>19.47</v>
    <v>PBW</v>
    <v>Invesco WldHill CE (ARCX:PBW)</v>
    <v>377675</v>
    <v>682758</v>
  </rv>
  <rv s="2">
    <v>84</v>
  </rv>
  <rv s="0">
    <v>https://www.bing.com/financeapi/forcetrigger?t=a23a8m&amp;q=XNAS%3aSOCL&amp;form=skydnc</v>
    <v>Learn more on Bing</v>
  </rv>
  <rv s="1">
    <v>en-US</v>
    <v>a23a8m</v>
    <v>268435456</v>
    <v>1</v>
    <v>Powered by Refinitiv</v>
    <v>0</v>
    <v>Glbl X Social Media (XNAS:SOCL)</v>
    <v>2</v>
    <v>3</v>
    <v>Finance</v>
    <v>4</v>
    <v>50.36</v>
    <v>36.71</v>
    <v>0.61019999999999996</v>
    <v>1</v>
    <v>4.9881000000000002E-2</v>
    <v>2.0276000000000002E-2</v>
    <v>2.5099999999999998</v>
    <v>USD</v>
    <v>Nasdaq Stock Market</v>
    <v>XNAS</v>
    <v>6.5000000000000006E-3</v>
    <v>50.36</v>
    <v>ETF</v>
    <v>45817.956385022655</v>
    <v>86</v>
    <v>50</v>
    <v>121600892.31</v>
    <v>Glbl X Social Media</v>
    <v>50</v>
    <v>49.32</v>
    <v>50.32</v>
    <v>52.83</v>
    <v>SOCL</v>
    <v>Glbl X Social Media (XNAS:SOCL)</v>
    <v>7409</v>
    <v>4801</v>
  </rv>
  <rv s="2">
    <v>87</v>
  </rv>
  <rv s="0">
    <v>https://www.bing.com/financeapi/forcetrigger?t=a235f2&amp;q=XNAS%3aSMH&amp;form=skydnc</v>
    <v>Learn more on Bing</v>
  </rv>
  <rv s="1">
    <v>en-US</v>
    <v>a235f2</v>
    <v>268435456</v>
    <v>1</v>
    <v>Powered by Refinitiv</v>
    <v>0</v>
    <v>VanEck:Semiconductor (XNAS:SMH)</v>
    <v>2</v>
    <v>3</v>
    <v>Finance</v>
    <v>4</v>
    <v>283.07</v>
    <v>170.11</v>
    <v>1.4548000000000001</v>
    <v>4.2300000000000004</v>
    <v>3.0739999999999999E-3</v>
    <v>1.6736999999999998E-2</v>
    <v>0.78990000000000005</v>
    <v>USD</v>
    <v>Nasdaq Stock Market</v>
    <v>XNAS</v>
    <v>3.4999999999999996E-3</v>
    <v>259.87</v>
    <v>ETF</v>
    <v>45817.998559733591</v>
    <v>89</v>
    <v>255</v>
    <v>22183996298.869999</v>
    <v>VanEck:Semiconductor</v>
    <v>255</v>
    <v>252.73</v>
    <v>256.95999999999998</v>
    <v>257.74990000000003</v>
    <v>SMH</v>
    <v>VanEck:Semiconductor (XNAS:SMH)</v>
    <v>10841427</v>
    <v>6742996</v>
  </rv>
  <rv s="2">
    <v>90</v>
  </rv>
  <rv s="0">
    <v>https://www.bing.com/financeapi/forcetrigger?t=a1z5r7&amp;q=ARCX%3aOIH&amp;form=skydnc</v>
    <v>Learn more on Bing</v>
  </rv>
  <rv s="1">
    <v>en-US</v>
    <v>a1z5r7</v>
    <v>268435456</v>
    <v>1</v>
    <v>Powered by Refinitiv</v>
    <v>0</v>
    <v>VanEck:Oil Services (ARCX:OIH)</v>
    <v>2</v>
    <v>3</v>
    <v>Finance</v>
    <v>4</v>
    <v>340.19</v>
    <v>191.21</v>
    <v>1.5173000000000001</v>
    <v>3.62</v>
    <v>-5.0960000000000007E-3</v>
    <v>1.5747000000000001E-2</v>
    <v>-1.19</v>
    <v>USD</v>
    <v>NYSE Arca</v>
    <v>ARCX</v>
    <v>3.4999999999999996E-3</v>
    <v>236.3</v>
    <v>ETF</v>
    <v>45818.000000034372</v>
    <v>92</v>
    <v>230.69</v>
    <v>909662952.99000001</v>
    <v>VanEck:Oil Services</v>
    <v>231.17</v>
    <v>229.88</v>
    <v>233.5</v>
    <v>232.31</v>
    <v>OIH</v>
    <v>VanEck:Oil Services (ARCX:OIH)</v>
    <v>811968</v>
    <v>541189</v>
  </rv>
  <rv s="2">
    <v>93</v>
  </rv>
  <rv s="3">
    <v>en-US</v>
    <v>cc7ocw</v>
    <v>268435456</v>
    <v>1</v>
    <v>Powered by Refinitiv</v>
    <v>5</v>
    <v>Range Nuclr Renssnce Idx (ARCX:NUKZ)</v>
    <v>6</v>
    <v>7</v>
    <v>Finance</v>
    <v>4</v>
    <v>53.619599999999998</v>
    <v>29</v>
    <v>0.79</v>
    <v>1.4656000000000001E-2</v>
    <v>1.5068E-2</v>
    <v>0.78</v>
    <v>USD</v>
    <v>NYSE Arca</v>
    <v>ARCX</v>
    <v>8.5000000000000006E-3</v>
    <v>53.619599999999998</v>
    <v>ETF</v>
    <v>45818.000000462504</v>
    <v>52.5989</v>
    <v>255226896.83000001</v>
    <v>Range Nuclr Renssnce Idx</v>
    <v>53.37</v>
    <v>52.43</v>
    <v>53.22</v>
    <v>54</v>
    <v>NUKZ</v>
    <v>Range Nuclr Renssnce Idx (ARCX:NUKZ)</v>
    <v>303840</v>
    <v>126147</v>
  </rv>
  <rv s="2">
    <v>95</v>
  </rv>
  <rv s="0">
    <v>https://www.bing.com/financeapi/forcetrigger?t=a266rw&amp;q=ARCX%3aXHB&amp;form=skydnc</v>
    <v>Learn more on Bing</v>
  </rv>
  <rv s="1">
    <v>en-US</v>
    <v>a266rw</v>
    <v>268435456</v>
    <v>1</v>
    <v>Powered by Refinitiv</v>
    <v>0</v>
    <v>SPDR S&amp;P Homebuilders (ARCX:XHB)</v>
    <v>2</v>
    <v>3</v>
    <v>Finance</v>
    <v>4</v>
    <v>126.09</v>
    <v>84.48</v>
    <v>1.3001</v>
    <v>1.08</v>
    <v>0</v>
    <v>1.1353E-2</v>
    <v>0</v>
    <v>USD</v>
    <v>NYSE Arca</v>
    <v>ARCX</v>
    <v>3.4999999999999996E-3</v>
    <v>96.67</v>
    <v>ETF</v>
    <v>45818.000000671091</v>
    <v>97</v>
    <v>95.36</v>
    <v>1197635335.04</v>
    <v>SPDR S&amp;P Homebuilders</v>
    <v>95.49</v>
    <v>95.13</v>
    <v>96.21</v>
    <v>96.21</v>
    <v>XHB</v>
    <v>SPDR S&amp;P Homebuilders (ARCX:XHB)</v>
    <v>1876831</v>
    <v>2330591</v>
  </rv>
  <rv s="2">
    <v>98</v>
  </rv>
  <rv s="0">
    <v>https://www.bing.com/financeapi/forcetrigger?t=b9wnim&amp;q=ARCX%3aQTUM&amp;form=skydnc</v>
    <v>Learn more on Bing</v>
  </rv>
  <rv s="1">
    <v>en-US</v>
    <v>b9wnim</v>
    <v>268435456</v>
    <v>1</v>
    <v>Powered by Refinitiv</v>
    <v>0</v>
    <v>Defiance Quantum (XNAS:QTUM)</v>
    <v>2</v>
    <v>3</v>
    <v>Finance</v>
    <v>4</v>
    <v>90.75</v>
    <v>52.98</v>
    <v>1.1069</v>
    <v>0.89</v>
    <v>6.3959999999999998E-3</v>
    <v>1.0086999999999999E-2</v>
    <v>0.56999999999999995</v>
    <v>USD</v>
    <v>Nasdaq Stock Market</v>
    <v>XNAS</v>
    <v>4.0000000000000001E-3</v>
    <v>89.579899999999995</v>
    <v>ETF</v>
    <v>45817.998611990624</v>
    <v>100</v>
    <v>88.45</v>
    <v>1280178378.3399999</v>
    <v>Defiance Quantum</v>
    <v>89.12</v>
    <v>88.23</v>
    <v>89.12</v>
    <v>89.69</v>
    <v>QTUM</v>
    <v>Defiance Quantum (XNAS:QTUM)</v>
    <v>376305</v>
    <v>285017</v>
  </rv>
  <rv s="2">
    <v>101</v>
  </rv>
  <rv s="0">
    <v>https://www.bing.com/financeapi/forcetrigger?t=a1tqp2&amp;q=ARCX%3aGDX&amp;form=skydnc</v>
    <v>Learn more on Bing</v>
  </rv>
  <rv s="1">
    <v>en-US</v>
    <v>a1tqp2</v>
    <v>268435456</v>
    <v>1</v>
    <v>Powered by Refinitiv</v>
    <v>0</v>
    <v>VanEck:Gold Miners (ARCX:GDX)</v>
    <v>2</v>
    <v>3</v>
    <v>Finance</v>
    <v>4</v>
    <v>54.62</v>
    <v>32.835000000000001</v>
    <v>0.93259999999999998</v>
    <v>0.51</v>
    <v>9.4759999999999994E-4</v>
    <v>9.8799999999999999E-3</v>
    <v>4.9399999999999999E-2</v>
    <v>USD</v>
    <v>NYSE Arca</v>
    <v>ARCX</v>
    <v>5.1000000000000004E-3</v>
    <v>52.32</v>
    <v>ETF</v>
    <v>45817.999987812502</v>
    <v>103</v>
    <v>51.41</v>
    <v>15570466246.91</v>
    <v>VanEck:Gold Miners</v>
    <v>51.67</v>
    <v>51.62</v>
    <v>52.13</v>
    <v>52.179400000000001</v>
    <v>GDX</v>
    <v>VanEck:Gold Miners (ARCX:GDX)</v>
    <v>15247334</v>
    <v>23143338</v>
  </rv>
  <rv s="2">
    <v>104</v>
  </rv>
  <rv s="0">
    <v>https://www.bing.com/financeapi/forcetrigger?t=a269pr&amp;q=ARCX%3aXOP&amp;form=skydnc</v>
    <v>Learn more on Bing</v>
  </rv>
  <rv s="1">
    <v>en-US</v>
    <v>a269pr</v>
    <v>268435456</v>
    <v>1</v>
    <v>Powered by Refinitiv</v>
    <v>0</v>
    <v>SPDR S&amp;P Oil&amp;Gas Exp (ARCX:XOP)</v>
    <v>2</v>
    <v>3</v>
    <v>Finance</v>
    <v>4</v>
    <v>151.47</v>
    <v>99.01</v>
    <v>1.2667999999999999</v>
    <v>1.04</v>
    <v>3.2190000000000002E-4</v>
    <v>8.4399999999999996E-3</v>
    <v>0.04</v>
    <v>USD</v>
    <v>NYSE Arca</v>
    <v>ARCX</v>
    <v>3.4999999999999996E-3</v>
    <v>125.53</v>
    <v>ETF</v>
    <v>45817.971511122654</v>
    <v>106</v>
    <v>122.85</v>
    <v>1841440744.3900001</v>
    <v>SPDR S&amp;P Oil&amp;Gas Exp</v>
    <v>123.79</v>
    <v>123.23</v>
    <v>124.27</v>
    <v>124.31</v>
    <v>XOP</v>
    <v>SPDR S&amp;P Oil&amp;Gas Exp (ARCX:XOP)</v>
    <v>3655337</v>
    <v>3631101</v>
  </rv>
  <rv s="2">
    <v>107</v>
  </rv>
  <rv s="0">
    <v>https://www.bing.com/financeapi/forcetrigger?t=a1vzmw&amp;q=BATS%3aIYT&amp;form=skydnc</v>
    <v>Learn more on Bing</v>
  </rv>
  <rv s="1">
    <v>en-US</v>
    <v>a1vzmw</v>
    <v>268435456</v>
    <v>1</v>
    <v>Powered by Refinitiv</v>
    <v>0</v>
    <v>iShares:US Transportatn (BATS:IYT)</v>
    <v>2</v>
    <v>3</v>
    <v>Finance</v>
    <v>12</v>
    <v>75.59</v>
    <v>54.02</v>
    <v>0.95499999999999996</v>
    <v>0.56000000000000005</v>
    <v>1.6847000000000001E-2</v>
    <v>8.4219999999999989E-3</v>
    <v>1.1294</v>
    <v>USD</v>
    <v>CBOE BZX Exchange</v>
    <v>BATS</v>
    <v>3.9000000000000003E-3</v>
    <v>67.53</v>
    <v>ETF</v>
    <v>45817.836827742969</v>
    <v>109</v>
    <v>66.739999999999995</v>
    <v>700221050.23000002</v>
    <v>iShares:US Transportatn</v>
    <v>66.739999999999995</v>
    <v>66.489999999999995</v>
    <v>67.05</v>
    <v>68.169399999999996</v>
    <v>IYT</v>
    <v>iShares:US Transportatn (BATS:IYT)</v>
    <v>163205</v>
    <v>485486</v>
  </rv>
  <rv s="2">
    <v>110</v>
  </rv>
  <rv s="0">
    <v>https://www.bing.com/financeapi/forcetrigger?t=a1vzh7&amp;q=ARCX%3aIYM&amp;form=skydnc</v>
    <v>Learn more on Bing</v>
  </rv>
  <rv s="1">
    <v>en-US</v>
    <v>a1vzh7</v>
    <v>268435456</v>
    <v>1</v>
    <v>Powered by Refinitiv</v>
    <v>0</v>
    <v>iShares:US Bsc Mat (ARCX:IYM)</v>
    <v>2</v>
    <v>3</v>
    <v>Finance</v>
    <v>4</v>
    <v>153.55000000000001</v>
    <v>115.07</v>
    <v>1.0498000000000001</v>
    <v>1.02</v>
    <v>-2.2494999999999998E-2</v>
    <v>7.3850000000000001E-3</v>
    <v>-3.13</v>
    <v>USD</v>
    <v>NYSE Arca</v>
    <v>ARCX</v>
    <v>3.9000000000000003E-3</v>
    <v>139.93879999999999</v>
    <v>ETF</v>
    <v>45818.000000022657</v>
    <v>112</v>
    <v>138.32</v>
    <v>484714112.80000001</v>
    <v>iShares:US Bsc Mat</v>
    <v>138.32</v>
    <v>138.12</v>
    <v>139.13999999999999</v>
    <v>136.01</v>
    <v>IYM</v>
    <v>iShares:US Bsc Mat (ARCX:IYM)</v>
    <v>13836</v>
    <v>14939</v>
  </rv>
  <rv s="2">
    <v>113</v>
  </rv>
  <rv s="0">
    <v>https://www.bing.com/financeapi/forcetrigger?t=a1zwp2&amp;q=ARCX%3aPJP&amp;form=skydnc</v>
    <v>Learn more on Bing</v>
  </rv>
  <rv s="1">
    <v>en-US</v>
    <v>a1zwp2</v>
    <v>268435456</v>
    <v>1</v>
    <v>Powered by Refinitiv</v>
    <v>0</v>
    <v>Invesco Pharmaceuticals (ARCX:PJP)</v>
    <v>2</v>
    <v>3</v>
    <v>Finance</v>
    <v>4</v>
    <v>89.87</v>
    <v>72.250799999999998</v>
    <v>0.79269999999999996</v>
    <v>0.5232</v>
    <v>0</v>
    <v>6.4139999999999996E-3</v>
    <v>0</v>
    <v>USD</v>
    <v>NYSE Arca</v>
    <v>ARCX</v>
    <v>5.6000000000000008E-3</v>
    <v>82.29</v>
    <v>ETF</v>
    <v>45817.840277777781</v>
    <v>115</v>
    <v>81.62</v>
    <v>234111603.66999999</v>
    <v>Invesco Pharmaceuticals</v>
    <v>81.94</v>
    <v>81.569599999999994</v>
    <v>82.092799999999997</v>
    <v>82.092799999999997</v>
    <v>PJP</v>
    <v>Invesco Pharmaceuticals (ARCX:PJP)</v>
    <v>6526</v>
    <v>10229</v>
  </rv>
  <rv s="2">
    <v>116</v>
  </rv>
  <rv s="0">
    <v>https://www.bing.com/financeapi/forcetrigger?t=bur2f2&amp;q=ARCX%3aBETZ&amp;form=skydnc</v>
    <v>Learn more on Bing</v>
  </rv>
  <rv s="1">
    <v>en-US</v>
    <v>bur2f2</v>
    <v>268435456</v>
    <v>1</v>
    <v>Powered by Refinitiv</v>
    <v>0</v>
    <v>Roundhill Sports B &amp; iG (ARCX:BETZ)</v>
    <v>2</v>
    <v>3</v>
    <v>Finance</v>
    <v>4</v>
    <v>21.83</v>
    <v>15.83</v>
    <v>1.3265</v>
    <v>0.1351</v>
    <v>0</v>
    <v>6.3400000000000001E-3</v>
    <v>0</v>
    <v>USD</v>
    <v>NYSE Arca</v>
    <v>ARCX</v>
    <v>7.4999999999999997E-3</v>
    <v>21.47</v>
    <v>ETF</v>
    <v>45818.000000659376</v>
    <v>118</v>
    <v>21.21</v>
    <v>74836361.109999999</v>
    <v>Roundhill Sports B &amp; iG</v>
    <v>21.21</v>
    <v>21.31</v>
    <v>21.4451</v>
    <v>21.4451</v>
    <v>BETZ</v>
    <v>Roundhill Sports B &amp; iG (ARCX:BETZ)</v>
    <v>13493</v>
    <v>18208</v>
  </rv>
  <rv s="2">
    <v>119</v>
  </rv>
  <rv s="0">
    <v>https://www.bing.com/financeapi/forcetrigger?t=a26ap2&amp;q=ARCX%3aXRT&amp;form=skydnc</v>
    <v>Learn more on Bing</v>
  </rv>
  <rv s="1">
    <v>en-US</v>
    <v>a26ap2</v>
    <v>268435456</v>
    <v>1</v>
    <v>Powered by Refinitiv</v>
    <v>0</v>
    <v>SPDR S&amp;P Retail (ARCX:XRT)</v>
    <v>2</v>
    <v>3</v>
    <v>Finance</v>
    <v>4</v>
    <v>84.84</v>
    <v>61.33</v>
    <v>1.2208000000000001</v>
    <v>0.46</v>
    <v>3.3E-3</v>
    <v>5.8730000000000006E-3</v>
    <v>0.26</v>
    <v>USD</v>
    <v>NYSE Arca</v>
    <v>ARCX</v>
    <v>3.4999999999999996E-3</v>
    <v>79.040000000000006</v>
    <v>ETF</v>
    <v>45818.000000046093</v>
    <v>121</v>
    <v>78.44</v>
    <v>269460872.69999999</v>
    <v>SPDR S&amp;P Retail</v>
    <v>78.72</v>
    <v>78.33</v>
    <v>78.790000000000006</v>
    <v>79.05</v>
    <v>XRT</v>
    <v>SPDR S&amp;P Retail (ARCX:XRT)</v>
    <v>5335894</v>
    <v>5859526</v>
  </rv>
  <rv s="2">
    <v>122</v>
  </rv>
  <rv s="0">
    <v>https://www.bing.com/financeapi/forcetrigger?t=a23xqh&amp;q=ARCX%3aTAN&amp;form=skydnc</v>
    <v>Learn more on Bing</v>
  </rv>
  <rv s="1">
    <v>en-US</v>
    <v>a23xqh</v>
    <v>268435456</v>
    <v>1</v>
    <v>Powered by Refinitiv</v>
    <v>0</v>
    <v>Invesco Solar (ARCX:TAN)</v>
    <v>2</v>
    <v>3</v>
    <v>Finance</v>
    <v>4</v>
    <v>49.93</v>
    <v>25.53</v>
    <v>1.0024999999999999</v>
    <v>0.19</v>
    <v>8.8809999999999996E-4</v>
    <v>5.6559999999999996E-3</v>
    <v>0.03</v>
    <v>USD</v>
    <v>NYSE Arca</v>
    <v>ARCX</v>
    <v>7.0999999999999995E-3</v>
    <v>34.44</v>
    <v>ETF</v>
    <v>45818.000000948436</v>
    <v>124</v>
    <v>33.700000000000003</v>
    <v>595009700.46000004</v>
    <v>Invesco Solar</v>
    <v>33.99</v>
    <v>33.590000000000003</v>
    <v>33.78</v>
    <v>33.81</v>
    <v>TAN</v>
    <v>Invesco Solar (ARCX:TAN)</v>
    <v>452879</v>
    <v>1364838</v>
  </rv>
  <rv s="2">
    <v>125</v>
  </rv>
  <rv s="0">
    <v>https://www.bing.com/financeapi/forcetrigger?t=a1wn3m&amp;q=ARCX%3aKRE&amp;form=skydnc</v>
    <v>Learn more on Bing</v>
  </rv>
  <rv s="1">
    <v>en-US</v>
    <v>a1wn3m</v>
    <v>268435456</v>
    <v>1</v>
    <v>Powered by Refinitiv</v>
    <v>0</v>
    <v>SPDR S&amp;P Reg Banking ETF (ARCX:KRE)</v>
    <v>2</v>
    <v>3</v>
    <v>Finance</v>
    <v>4</v>
    <v>70.25</v>
    <v>45.76</v>
    <v>1.1377999999999999</v>
    <v>0.28999999999999998</v>
    <v>-1.372E-3</v>
    <v>4.9979999999999998E-3</v>
    <v>-0.08</v>
    <v>USD</v>
    <v>NYSE Arca</v>
    <v>ARCX</v>
    <v>3.4999999999999996E-3</v>
    <v>58.85</v>
    <v>ETF</v>
    <v>45817.978828865627</v>
    <v>127</v>
    <v>58.08</v>
    <v>3216325065.1500001</v>
    <v>SPDR S&amp;P Reg Banking ETF</v>
    <v>58.35</v>
    <v>58.02</v>
    <v>58.31</v>
    <v>58.23</v>
    <v>KRE</v>
    <v>SPDR S&amp;P Reg Banking ETF (ARCX:KRE)</v>
    <v>10122012</v>
    <v>10010760</v>
  </rv>
  <rv s="2">
    <v>128</v>
  </rv>
  <rv s="0">
    <v>https://www.bing.com/financeapi/forcetrigger?t=a1v4jc&amp;q=XNAS%3aIBB&amp;form=skydnc</v>
    <v>Learn more on Bing</v>
  </rv>
  <rv s="1">
    <v>en-US</v>
    <v>a1v4jc</v>
    <v>268435456</v>
    <v>1</v>
    <v>Powered by Refinitiv</v>
    <v>0</v>
    <v>iShares:Biotechnology (XNAS:IBB)</v>
    <v>2</v>
    <v>3</v>
    <v>Finance</v>
    <v>4</v>
    <v>150.565</v>
    <v>107.43</v>
    <v>1.0015000000000001</v>
    <v>0.63</v>
    <v>0</v>
    <v>4.9619999999999994E-3</v>
    <v>0</v>
    <v>USD</v>
    <v>Nasdaq Stock Market</v>
    <v>XNAS</v>
    <v>4.5000000000000005E-3</v>
    <v>128.41999999999999</v>
    <v>ETF</v>
    <v>45817.914904803125</v>
    <v>130</v>
    <v>126.21</v>
    <v>5114303649.8999996</v>
    <v>iShares:Biotechnology</v>
    <v>128.19</v>
    <v>126.96</v>
    <v>127.59</v>
    <v>127.59</v>
    <v>IBB</v>
    <v>iShares:Biotechnology (XNAS:IBB)</v>
    <v>2600560</v>
    <v>2021955</v>
  </rv>
  <rv s="2">
    <v>131</v>
  </rv>
  <rv s="0">
    <v>https://www.bing.com/financeapi/forcetrigger?t=a1zjec&amp;q=ARCX%3aPBS&amp;form=skydnc</v>
    <v>Learn more on Bing</v>
  </rv>
  <rv s="1">
    <v>en-US</v>
    <v>a1zjec</v>
    <v>268435456</v>
    <v>1</v>
    <v>Powered by Refinitiv</v>
    <v>0</v>
    <v>Invesco NxtGn Med &amp; Gmng (ARCX:GGME)</v>
    <v>2</v>
    <v>3</v>
    <v>Finance</v>
    <v>4</v>
    <v>59.1</v>
    <v>41.17</v>
    <v>1.2773000000000001</v>
    <v>0.27900000000000003</v>
    <v>2.4334999999999999E-2</v>
    <v>4.8729999999999997E-3</v>
    <v>1.4</v>
    <v>USD</v>
    <v>NYSE Arca</v>
    <v>ARCX</v>
    <v>6.0999999999999995E-3</v>
    <v>57.67</v>
    <v>ETF</v>
    <v>45817.913537673434</v>
    <v>133</v>
    <v>57.5</v>
    <v>133759938.77</v>
    <v>Invesco NxtGn Med &amp; Gmng</v>
    <v>57.67</v>
    <v>57.250999999999998</v>
    <v>57.53</v>
    <v>58.93</v>
    <v>GGME</v>
    <v>Invesco NxtGn Med &amp; Gmng (ARCX:GGME)</v>
    <v>3723</v>
    <v>7464</v>
  </rv>
  <rv s="2">
    <v>134</v>
  </rv>
  <rv s="0">
    <v>https://www.bing.com/financeapi/forcetrigger?t=a1wer7&amp;q=ARCX%3aKBE&amp;form=skydnc</v>
    <v>Learn more on Bing</v>
  </rv>
  <rv s="1">
    <v>en-US</v>
    <v>a1wer7</v>
    <v>268435456</v>
    <v>1</v>
    <v>Powered by Refinitiv</v>
    <v>0</v>
    <v>SPDR S&amp;P Bank ETF (ARCX:KBE)</v>
    <v>2</v>
    <v>3</v>
    <v>Finance</v>
    <v>4</v>
    <v>63.74</v>
    <v>43.64</v>
    <v>1.0048999999999999</v>
    <v>0.25</v>
    <v>1.0669999999999999E-2</v>
    <v>4.62E-3</v>
    <v>0.57999999999999996</v>
    <v>USD</v>
    <v>NYSE Arca</v>
    <v>ARCX</v>
    <v>3.4999999999999996E-3</v>
    <v>54.844999999999999</v>
    <v>ETF</v>
    <v>45817.907794432809</v>
    <v>136</v>
    <v>54.17</v>
    <v>1359689919.54</v>
    <v>SPDR S&amp;P Bank ETF</v>
    <v>54.37</v>
    <v>54.11</v>
    <v>54.36</v>
    <v>54.94</v>
    <v>KBE</v>
    <v>SPDR S&amp;P Bank ETF (ARCX:KBE)</v>
    <v>1488058</v>
    <v>1452498</v>
  </rv>
  <rv s="2">
    <v>137</v>
  </rv>
  <rv s="0">
    <v>https://www.bing.com/financeapi/forcetrigger?t=a1vtr7&amp;q=BATS%3aITA&amp;form=skydnc</v>
    <v>Learn more on Bing</v>
  </rv>
  <rv s="1">
    <v>en-US</v>
    <v>a1vtr7</v>
    <v>268435456</v>
    <v>1</v>
    <v>Powered by Refinitiv</v>
    <v>0</v>
    <v>iShares:US Aer&amp;Def ETF (BATS:ITA)</v>
    <v>2</v>
    <v>3</v>
    <v>Finance</v>
    <v>12</v>
    <v>183.23</v>
    <v>129.13999999999999</v>
    <v>0.88049999999999995</v>
    <v>0.79</v>
    <v>2.6829999999999996E-3</v>
    <v>4.3419999999999995E-3</v>
    <v>0.49</v>
    <v>USD</v>
    <v>CBOE BZX Exchange</v>
    <v>BATS</v>
    <v>4.0000000000000001E-3</v>
    <v>183.23</v>
    <v>ETF</v>
    <v>45817.999687383592</v>
    <v>139</v>
    <v>180.66</v>
    <v>7531077798.3500004</v>
    <v>iShares:US Aer&amp;Def ETF</v>
    <v>183</v>
    <v>181.96</v>
    <v>182.75</v>
    <v>183.13</v>
    <v>ITA</v>
    <v>iShares:US Aer&amp;Def ETF (BATS:ITA)</v>
    <v>837188</v>
    <v>530064</v>
  </rv>
  <rv s="2">
    <v>140</v>
  </rv>
  <rv s="0">
    <v>https://www.bing.com/financeapi/forcetrigger?t=a1w3nm&amp;q=ARCX%3aJETS&amp;form=skydnc</v>
    <v>Learn more on Bing</v>
  </rv>
  <rv s="1">
    <v>en-US</v>
    <v>a1w3nm</v>
    <v>268435456</v>
    <v>1</v>
    <v>Powered by Refinitiv</v>
    <v>0</v>
    <v>US Global Jets (ARCX:JETS)</v>
    <v>2</v>
    <v>3</v>
    <v>Finance</v>
    <v>4</v>
    <v>27.1</v>
    <v>16.475000000000001</v>
    <v>1.6616</v>
    <v>7.0000000000000007E-2</v>
    <v>1.2859999999999998E-3</v>
    <v>3.0109999999999998E-3</v>
    <v>0.03</v>
    <v>USD</v>
    <v>NYSE Arca</v>
    <v>ARCX</v>
    <v>6.0000000000000001E-3</v>
    <v>23.5</v>
    <v>ETF</v>
    <v>45817.968317221872</v>
    <v>142</v>
    <v>23.26</v>
    <v>841963691.16999996</v>
    <v>US Global Jets</v>
    <v>23.37</v>
    <v>23.25</v>
    <v>23.32</v>
    <v>23.35</v>
    <v>JETS</v>
    <v>US Global Jets (ARCX:JETS)</v>
    <v>1286297</v>
    <v>2655440</v>
  </rv>
  <rv s="2">
    <v>143</v>
  </rv>
  <rv s="0">
    <v>https://www.bing.com/financeapi/forcetrigger?t=a26ba2&amp;q=ARCX%3aXSW&amp;form=skydnc</v>
    <v>Learn more on Bing</v>
  </rv>
  <rv s="1">
    <v>en-US</v>
    <v>a26ba2</v>
    <v>268435456</v>
    <v>1</v>
    <v>Powered by Refinitiv</v>
    <v>0</v>
    <v>SPDR S&amp;P Sftwre &amp; Svc (ARCX:XSW)</v>
    <v>2</v>
    <v>3</v>
    <v>Finance</v>
    <v>4</v>
    <v>206</v>
    <v>136.83500000000001</v>
    <v>0.93230000000000002</v>
    <v>0.12</v>
    <v>5.3429999999999995E-5</v>
    <v>6.4159999999999998E-4</v>
    <v>0.01</v>
    <v>USD</v>
    <v>NYSE Arca</v>
    <v>ARCX</v>
    <v>3.4999999999999996E-3</v>
    <v>188.31</v>
    <v>ETF</v>
    <v>45818.000000022657</v>
    <v>145</v>
    <v>186.64340000000001</v>
    <v>509563434.11000001</v>
    <v>SPDR S&amp;P Sftwre &amp; Svc</v>
    <v>188.31</v>
    <v>187.03</v>
    <v>187.15</v>
    <v>187.16</v>
    <v>XSW</v>
    <v>SPDR S&amp;P Sftwre &amp; Svc (ARCX:XSW)</v>
    <v>40460</v>
    <v>28823</v>
  </rv>
  <rv s="2">
    <v>146</v>
  </rv>
  <rv s="0">
    <v>https://www.bing.com/financeapi/forcetrigger?t=azkh9c&amp;q=BATS%3aIFRA&amp;form=skydnc</v>
    <v>Learn more on Bing</v>
  </rv>
  <rv s="1">
    <v>en-US</v>
    <v>azkh9c</v>
    <v>268435456</v>
    <v>1</v>
    <v>Powered by Refinitiv</v>
    <v>0</v>
    <v>iShares:US Infra (BATS:IFRA)</v>
    <v>2</v>
    <v>3</v>
    <v>Finance</v>
    <v>12</v>
    <v>51.99</v>
    <v>39.940100000000001</v>
    <v>0.96830000000000005</v>
    <v>0.01</v>
    <v>0</v>
    <v>2.0590000000000002E-4</v>
    <v>0</v>
    <v>USD</v>
    <v>CBOE BZX Exchange</v>
    <v>BATS</v>
    <v>3.0000000000000001E-3</v>
    <v>48.88</v>
    <v>ETF</v>
    <v>45817.836256272654</v>
    <v>148</v>
    <v>48.5</v>
    <v>2463230334.4299998</v>
    <v>iShares:US Infra</v>
    <v>48.8</v>
    <v>48.56</v>
    <v>48.57</v>
    <v>48.6</v>
    <v>IFRA</v>
    <v>iShares:US Infra (BATS:IFRA)</v>
    <v>103655</v>
    <v>163340</v>
  </rv>
  <rv s="2">
    <v>149</v>
  </rv>
  <rv s="0">
    <v>https://www.bing.com/financeapi/forcetrigger?t=a1or9c&amp;q=XNAS%3aBOTZ&amp;form=skydnc</v>
    <v>Learn more on Bing</v>
  </rv>
  <rv s="1">
    <v>en-US</v>
    <v>a1or9c</v>
    <v>268435456</v>
    <v>1</v>
    <v>Powered by Refinitiv</v>
    <v>0</v>
    <v>Glbl X Rob &amp; Art Intel (XNAS:BOTZ)</v>
    <v>2</v>
    <v>3</v>
    <v>Finance</v>
    <v>4</v>
    <v>34.855899999999998</v>
    <v>23.815000000000001</v>
    <v>1.153</v>
    <v>0</v>
    <v>3.1850000000000004E-4</v>
    <v>0</v>
    <v>0.01</v>
    <v>USD</v>
    <v>Nasdaq Stock Market</v>
    <v>XNAS</v>
    <v>6.8000000000000005E-3</v>
    <v>31.5</v>
    <v>ETF</v>
    <v>45817.988878529686</v>
    <v>151</v>
    <v>31.2</v>
    <v>2549068478.0100002</v>
    <v>Glbl X Rob &amp; Art Intel</v>
    <v>31.385000000000002</v>
    <v>31.4</v>
    <v>31.4</v>
    <v>31.41</v>
    <v>BOTZ</v>
    <v>Glbl X Rob &amp; Art Intel (XNAS:BOTZ)</v>
    <v>538722</v>
    <v>544057</v>
  </rv>
  <rv s="2">
    <v>152</v>
  </rv>
  <rv s="0">
    <v>https://www.bing.com/financeapi/forcetrigger?t=a1sq4c&amp;q=ARCX%3aFDN&amp;form=skydnc</v>
    <v>Learn more on Bing</v>
  </rv>
  <rv s="1">
    <v>en-US</v>
    <v>a1sq4c</v>
    <v>268435456</v>
    <v>1</v>
    <v>Powered by Refinitiv</v>
    <v>0</v>
    <v>FT:DJ Internet Index Fd (ARCX:FDN)</v>
    <v>2</v>
    <v>3</v>
    <v>Finance</v>
    <v>4</v>
    <v>267.81</v>
    <v>177.2</v>
    <v>1.0246999999999999</v>
    <v>-0.39</v>
    <v>2.15E-3</v>
    <v>-1.495E-3</v>
    <v>0.56000000000000005</v>
    <v>USD</v>
    <v>NYSE Arca</v>
    <v>ARCX</v>
    <v>4.8999999999999998E-3</v>
    <v>261.69990000000001</v>
    <v>ETF</v>
    <v>45818.000000034372</v>
    <v>154</v>
    <v>259.77</v>
    <v>7073076916.54</v>
    <v>FT:DJ Internet Index Fd</v>
    <v>261.43</v>
    <v>260.81</v>
    <v>260.42</v>
    <v>260.98</v>
    <v>FDN</v>
    <v>FT:DJ Internet Index Fd (ARCX:FDN)</v>
    <v>139221</v>
    <v>476261</v>
  </rv>
  <rv s="2">
    <v>155</v>
  </rv>
  <rv s="0">
    <v>https://www.bing.com/financeapi/forcetrigger?t=a1zorw&amp;q=ARCX%3aPEJ&amp;form=skydnc</v>
    <v>Learn more on Bing</v>
  </rv>
  <rv s="1">
    <v>en-US</v>
    <v>a1zorw</v>
    <v>268435456</v>
    <v>1</v>
    <v>Powered by Refinitiv</v>
    <v>0</v>
    <v>Invesco Leisure and Ent (ARCX:PEJ)</v>
    <v>2</v>
    <v>11</v>
    <v>Finance</v>
    <v>4</v>
    <v>57.929499999999997</v>
    <v>41.08</v>
    <v>1.2795000000000001</v>
    <v>-0.11</v>
    <v>-1.8017999999999999E-2</v>
    <v>-2.0180000000000003E-3</v>
    <v>-0.98</v>
    <v>USD</v>
    <v>NYSE Arca</v>
    <v>ARCX</v>
    <v>5.6999999999999993E-3</v>
    <v>54.77</v>
    <v>ETF</v>
    <v>45818</v>
    <v>157</v>
    <v>54.39</v>
    <v>330866727.37</v>
    <v>Invesco Leisure and Ent</v>
    <v>54.76</v>
    <v>54.5</v>
    <v>54.39</v>
    <v>53.41</v>
    <v>PEJ</v>
    <v>Invesco Leisure and Ent (ARCX:PEJ)</v>
    <v>31285</v>
    <v>43785</v>
  </rv>
  <rv s="2">
    <v>158</v>
  </rv>
  <rv s="0">
    <v>https://www.bing.com/financeapi/forcetrigger?t=a232h7&amp;q=XNAS%3aSKYY&amp;form=skydnc</v>
    <v>Learn more on Bing</v>
  </rv>
  <rv s="1">
    <v>en-US</v>
    <v>a232h7</v>
    <v>268435456</v>
    <v>1</v>
    <v>Powered by Refinitiv</v>
    <v>0</v>
    <v>FT II:Cloud Computing (XNAS:SKYY)</v>
    <v>2</v>
    <v>3</v>
    <v>Finance</v>
    <v>4</v>
    <v>131.54</v>
    <v>83.45</v>
    <v>1.0409999999999999</v>
    <v>-0.32</v>
    <v>-3.3689999999999996E-3</v>
    <v>-2.6879999999999999E-3</v>
    <v>-0.4</v>
    <v>USD</v>
    <v>Nasdaq Stock Market</v>
    <v>XNAS</v>
    <v>6.0000000000000001E-3</v>
    <v>119.54989999999999</v>
    <v>ETF</v>
    <v>45817.999761110936</v>
    <v>160</v>
    <v>118.43</v>
    <v>3384078271.9400001</v>
    <v>FT II:Cloud Computing</v>
    <v>119.06</v>
    <v>119.04</v>
    <v>118.72</v>
    <v>118.32</v>
    <v>SKYY</v>
    <v>FT II:Cloud Computing (XNAS:SKYY)</v>
    <v>111999</v>
    <v>247295</v>
  </rv>
  <rv s="2">
    <v>161</v>
  </rv>
  <rv s="0">
    <v>https://www.bing.com/financeapi/forcetrigger?t=a1ziqh&amp;q=ARCX%3aPBJ&amp;form=skydnc</v>
    <v>Learn more on Bing</v>
  </rv>
  <rv s="1">
    <v>en-US</v>
    <v>a1ziqh</v>
    <v>268435456</v>
    <v>1</v>
    <v>Powered by Refinitiv</v>
    <v>0</v>
    <v>Invesco Food &amp; Beverage (ARCX:PBJ)</v>
    <v>2</v>
    <v>3</v>
    <v>Finance</v>
    <v>4</v>
    <v>49.265000000000001</v>
    <v>42.570099999999996</v>
    <v>0.62129999999999996</v>
    <v>-0.1454</v>
    <v>-2.0718E-2</v>
    <v>-3.0499999999999998E-3</v>
    <v>-0.98460000000000003</v>
    <v>USD</v>
    <v>NYSE Arca</v>
    <v>ARCX</v>
    <v>6.1999999999999998E-3</v>
    <v>47.65</v>
    <v>ETF</v>
    <v>45818.000000034372</v>
    <v>163</v>
    <v>47.229599999999998</v>
    <v>104288052.98999999</v>
    <v>Invesco Food &amp; Beverage</v>
    <v>47.65</v>
    <v>47.67</v>
    <v>47.5246</v>
    <v>46.54</v>
    <v>PBJ</v>
    <v>Invesco Food &amp; Beverage (ARCX:PBJ)</v>
    <v>4015</v>
    <v>4844</v>
  </rv>
  <rv s="2">
    <v>164</v>
  </rv>
  <rv s="0">
    <v>https://www.bing.com/financeapi/forcetrigger?t=bng4gh&amp;q=XNAS%3aESPO&amp;form=skydnc</v>
    <v>Learn more on Bing</v>
  </rv>
  <rv s="1">
    <v>en-US</v>
    <v>bng4gh</v>
    <v>268435456</v>
    <v>1</v>
    <v>Powered by Refinitiv</v>
    <v>0</v>
    <v>VanEck:VG and eSports (XNAS:ESPO)</v>
    <v>2</v>
    <v>3</v>
    <v>Finance</v>
    <v>4</v>
    <v>105.48</v>
    <v>60.91</v>
    <v>0.96099999999999997</v>
    <v>-0.39</v>
    <v>-2.8664000000000002E-2</v>
    <v>-3.7130000000000002E-3</v>
    <v>-3</v>
    <v>USD</v>
    <v>Nasdaq Stock Market</v>
    <v>XNAS</v>
    <v>5.6000000000000008E-3</v>
    <v>105.48</v>
    <v>ETF</v>
    <v>45817.967324409372</v>
    <v>166</v>
    <v>104.43</v>
    <v>349398069.35000002</v>
    <v>VanEck:VG and eSports</v>
    <v>105.42</v>
    <v>105.05</v>
    <v>104.66</v>
    <v>101.66</v>
    <v>ESPO</v>
    <v>VanEck:VG and eSports (XNAS:ESPO)</v>
    <v>25811</v>
    <v>35031</v>
  </rv>
  <rv s="2">
    <v>167</v>
  </rv>
  <rv s="0">
    <v>https://www.bing.com/financeapi/forcetrigger?t=a1vf2w&amp;q=ARCX%3aIHF&amp;form=skydnc</v>
    <v>Learn more on Bing</v>
  </rv>
  <rv s="1">
    <v>en-US</v>
    <v>a1vf2w</v>
    <v>268435456</v>
    <v>1</v>
    <v>Powered by Refinitiv</v>
    <v>0</v>
    <v>iShares:US HC Prvd ETF (ARCX:IHF)</v>
    <v>2</v>
    <v>3</v>
    <v>Finance</v>
    <v>4</v>
    <v>58.944899999999997</v>
    <v>44.62</v>
    <v>0.99850000000000005</v>
    <v>-0.21</v>
    <v>1.3607000000000001E-2</v>
    <v>-4.3769999999999998E-3</v>
    <v>0.65</v>
    <v>USD</v>
    <v>NYSE Arca</v>
    <v>ARCX</v>
    <v>4.0000000000000001E-3</v>
    <v>48.09</v>
    <v>ETF</v>
    <v>45817.989690219532</v>
    <v>169</v>
    <v>47.29</v>
    <v>648527723.71000004</v>
    <v>iShares:US HC Prvd ETF</v>
    <v>48.09</v>
    <v>47.98</v>
    <v>47.77</v>
    <v>48.42</v>
    <v>IHF</v>
    <v>iShares:US HC Prvd ETF (ARCX:IHF)</v>
    <v>171225</v>
    <v>271557</v>
  </rv>
  <rv s="2">
    <v>170</v>
  </rv>
  <rv s="0">
    <v>https://www.bing.com/financeapi/forcetrigger?t=a1v3yc&amp;q=ARCX%3aIAI&amp;form=skydnc</v>
    <v>Learn more on Bing</v>
  </rv>
  <rv s="1">
    <v>en-US</v>
    <v>a1v3yc</v>
    <v>268435456</v>
    <v>1</v>
    <v>Powered by Refinitiv</v>
    <v>0</v>
    <v>iShares:US BD &amp; SE ETF (ARCX:IAI)</v>
    <v>2</v>
    <v>3</v>
    <v>Finance</v>
    <v>4</v>
    <v>159.90289999999999</v>
    <v>114.17</v>
    <v>1.0696000000000001</v>
    <v>-0.85</v>
    <v>1.9199999999999998E-4</v>
    <v>-5.4090000000000006E-3</v>
    <v>0.03</v>
    <v>USD</v>
    <v>NYSE Arca</v>
    <v>ARCX</v>
    <v>4.0000000000000001E-3</v>
    <v>157.1</v>
    <v>ETF</v>
    <v>45817.895926631252</v>
    <v>172</v>
    <v>154.80000000000001</v>
    <v>1329579564.98</v>
    <v>iShares:US BD &amp; SE ETF</v>
    <v>157.1</v>
    <v>157.13999999999999</v>
    <v>156.29</v>
    <v>156.32</v>
    <v>IAI</v>
    <v>iShares:US BD &amp; SE ETF (ARCX:IAI)</v>
    <v>190136</v>
    <v>171425</v>
  </rv>
  <rv s="2">
    <v>173</v>
  </rv>
  <rv s="0">
    <v>https://www.bing.com/financeapi/forcetrigger?t=a1vf8m&amp;q=ARCX%3aIHI&amp;form=skydnc</v>
    <v>Learn more on Bing</v>
  </rv>
  <rv s="1">
    <v>en-US</v>
    <v>a1vf8m</v>
    <v>268435456</v>
    <v>1</v>
    <v>Powered by Refinitiv</v>
    <v>0</v>
    <v>iShares:US Med Dev ETF (ARCX:IHI)</v>
    <v>2</v>
    <v>3</v>
    <v>Finance</v>
    <v>4</v>
    <v>65.180000000000007</v>
    <v>52.904699999999998</v>
    <v>1.0749</v>
    <v>-0.79</v>
    <v>1.7621000000000001E-2</v>
    <v>-1.2725999999999999E-2</v>
    <v>1.08</v>
    <v>USD</v>
    <v>NYSE Arca</v>
    <v>ARCX</v>
    <v>4.0000000000000001E-3</v>
    <v>61.66</v>
    <v>ETF</v>
    <v>45817.904658796091</v>
    <v>175</v>
    <v>60.43</v>
    <v>4653329354.3699999</v>
    <v>iShares:US Med Dev ETF</v>
    <v>61.66</v>
    <v>62.08</v>
    <v>61.29</v>
    <v>62.37</v>
    <v>IHI</v>
    <v>iShares:US Med Dev ETF (ARCX:IHI)</v>
    <v>1649165</v>
    <v>734945</v>
  </rv>
  <rv s="2">
    <v>176</v>
  </rv>
  <rv s="0">
    <v>https://www.bing.com/financeapi/forcetrigger?t=a1wicw&amp;q=ARCX%3aKIE&amp;form=skydnc</v>
    <v>Learn more on Bing</v>
  </rv>
  <rv s="1">
    <v>en-US</v>
    <v>a1wicw</v>
    <v>268435456</v>
    <v>1</v>
    <v>Powered by Refinitiv</v>
    <v>0</v>
    <v>SPDR S&amp;P Insurance ETF (ARCX:KIE)</v>
    <v>2</v>
    <v>3</v>
    <v>Finance</v>
    <v>4</v>
    <v>62.47</v>
    <v>48.822000000000003</v>
    <v>0.99050000000000005</v>
    <v>-0.96</v>
    <v>-1.332E-2</v>
    <v>-1.6129000000000001E-2</v>
    <v>-0.78</v>
    <v>USD</v>
    <v>NYSE Arca</v>
    <v>ARCX</v>
    <v>3.4999999999999996E-3</v>
    <v>59.54</v>
    <v>ETF</v>
    <v>45817.840277777781</v>
    <v>178</v>
    <v>57.65</v>
    <v>952406482.86000001</v>
    <v>SPDR S&amp;P Insurance ETF</v>
    <v>59.54</v>
    <v>59.52</v>
    <v>58.56</v>
    <v>57.78</v>
    <v>KIE</v>
    <v>SPDR S&amp;P Insurance ETF (ARCX:KIE)</v>
    <v>1375616</v>
    <v>813448</v>
  </rv>
  <rv s="2">
    <v>179</v>
  </rv>
  <rv s="0">
    <v>https://www.bing.com/financeapi/forcetrigger?t=bvn2mw&amp;q=ARCX%3aMSOS&amp;form=skydnc</v>
    <v>Learn more on Bing</v>
  </rv>
  <rv s="1">
    <v>en-US</v>
    <v>bvn2mw</v>
    <v>268435456</v>
    <v>1</v>
    <v>Powered by Refinitiv</v>
    <v>0</v>
    <v>AdvsrShs Pure USCannabis (ARCX:MSOS)</v>
    <v>2</v>
    <v>3</v>
    <v>Finance</v>
    <v>4</v>
    <v>8.1999999999999993</v>
    <v>2.02</v>
    <v>1.2018</v>
    <v>-0.06</v>
    <v>8.6580000000000008E-3</v>
    <v>-2.5316000000000002E-2</v>
    <v>0.02</v>
    <v>USD</v>
    <v>NYSE Arca</v>
    <v>ARCX</v>
    <v>7.7000000000000002E-3</v>
    <v>2.38</v>
    <v>ETF</v>
    <v>45817.999702858593</v>
    <v>181</v>
    <v>2.31</v>
    <v>321524011.81999999</v>
    <v>AdvsrShs Pure USCannabis</v>
    <v>2.37</v>
    <v>2.37</v>
    <v>2.31</v>
    <v>2.33</v>
    <v>MSOS</v>
    <v>AdvsrShs Pure USCannabis (ARCX:MSOS)</v>
    <v>1525241</v>
    <v>3741067</v>
  </rv>
  <rv s="2">
    <v>182</v>
  </rv>
  <rv s="0">
    <v>https://www.bing.com/financeapi/forcetrigger?t=a23dhw&amp;q=ARCX%3aSPHB&amp;form=skydnc</v>
    <v>Learn more on Bing</v>
  </rv>
  <rv s="1">
    <v>en-US</v>
    <v>a23dhw</v>
    <v>268435456</v>
    <v>1</v>
    <v>Powered by Refinitiv</v>
    <v>0</v>
    <v>Invesco S&amp;P500 Hi Be (ARCX:SPHB)</v>
    <v>2</v>
    <v>3</v>
    <v>Finance</v>
    <v>4</v>
    <v>96.15</v>
    <v>64.400000000000006</v>
    <v>1.3101</v>
    <v>0.8</v>
    <v>1.7552999999999999E-2</v>
    <v>8.744E-3</v>
    <v>1.62</v>
    <v>USD</v>
    <v>NYSE Arca</v>
    <v>ARCX</v>
    <v>2.5000000000000001E-3</v>
    <v>92.87</v>
    <v>ETF</v>
    <v>45817.868961712498</v>
    <v>184</v>
    <v>92.09</v>
    <v>344944159.13</v>
    <v>Invesco S&amp;P500 Hi Be</v>
    <v>92.09</v>
    <v>91.49</v>
    <v>92.29</v>
    <v>93.91</v>
    <v>SPHB</v>
    <v>Invesco S&amp;P500 Hi Be (ARCX:SPHB)</v>
    <v>418565</v>
    <v>390149</v>
  </rv>
  <rv s="2">
    <v>185</v>
  </rv>
  <rv s="0">
    <v>https://www.bing.com/financeapi/forcetrigger?t=a23hw7&amp;q=ARCX%3aSPYD&amp;form=skydnc</v>
    <v>Learn more on Bing</v>
  </rv>
  <rv s="1">
    <v>en-US</v>
    <v>a23hw7</v>
    <v>268435456</v>
    <v>1</v>
    <v>Powered by Refinitiv</v>
    <v>0</v>
    <v>SPDR Ptf S&amp;P 500 Hi Div (ARCX:SPYD)</v>
    <v>2</v>
    <v>3</v>
    <v>Finance</v>
    <v>4</v>
    <v>47.52</v>
    <v>37.92</v>
    <v>1.0958000000000001</v>
    <v>0.09</v>
    <v>7.0470000000000005E-4</v>
    <v>2.1190000000000002E-3</v>
    <v>0.03</v>
    <v>USD</v>
    <v>NYSE Arca</v>
    <v>ARCX</v>
    <v>7.000000000000001E-4</v>
    <v>42.85</v>
    <v>ETF</v>
    <v>45818.000000022657</v>
    <v>187</v>
    <v>42.455800000000004</v>
    <v>6808752751.9799995</v>
    <v>SPDR Ptf S&amp;P 500 Hi Div</v>
    <v>42.56</v>
    <v>42.48</v>
    <v>42.57</v>
    <v>42.6</v>
    <v>SPYD</v>
    <v>SPDR Ptf S&amp;P 500 Hi Div (ARCX:SPYD)</v>
    <v>1152886</v>
    <v>846685</v>
  </rv>
  <rv s="2">
    <v>188</v>
  </rv>
  <rv s="0">
    <v>https://www.bing.com/financeapi/forcetrigger?t=a23dkr&amp;q=ARCX%3aSPHD&amp;form=skydnc</v>
    <v>Learn more on Bing</v>
  </rv>
  <rv s="1">
    <v>en-US</v>
    <v>a23dkr</v>
    <v>268435456</v>
    <v>1</v>
    <v>Powered by Refinitiv</v>
    <v>0</v>
    <v>Invesco S&amp;P500 HD LV (ARCX:SPHD)</v>
    <v>2</v>
    <v>3</v>
    <v>Finance</v>
    <v>4</v>
    <v>51.89</v>
    <v>43.39</v>
    <v>0.92310000000000003</v>
    <v>0.08</v>
    <v>-1.2640000000000001E-3</v>
    <v>1.688E-3</v>
    <v>-0.06</v>
    <v>USD</v>
    <v>NYSE Arca</v>
    <v>ARCX</v>
    <v>3.0000000000000001E-3</v>
    <v>47.774999999999999</v>
    <v>ETF</v>
    <v>45818.000000022657</v>
    <v>190</v>
    <v>47.344999999999999</v>
    <v>3204611448.3099999</v>
    <v>Invesco S&amp;P500 HD LV</v>
    <v>47.4</v>
    <v>47.38</v>
    <v>47.46</v>
    <v>47.4</v>
    <v>SPHD</v>
    <v>Invesco S&amp;P500 HD LV (ARCX:SPHD)</v>
    <v>638696</v>
    <v>495417</v>
  </rv>
  <rv s="2">
    <v>191</v>
  </rv>
  <rv s="0">
    <v>https://www.bing.com/financeapi/forcetrigger?t=a228nm&amp;q=ARCX%3aRPV&amp;form=skydnc</v>
    <v>Learn more on Bing</v>
  </rv>
  <rv s="1">
    <v>en-US</v>
    <v>a228nm</v>
    <v>268435456</v>
    <v>1</v>
    <v>Powered by Refinitiv</v>
    <v>0</v>
    <v>Invesco S&amp;P500 Pre V (ARCX:RPV)</v>
    <v>2</v>
    <v>3</v>
    <v>Finance</v>
    <v>4</v>
    <v>97.73</v>
    <v>80.400000000000006</v>
    <v>0.93920000000000003</v>
    <v>0.15</v>
    <v>-3.065E-3</v>
    <v>1.645E-3</v>
    <v>-0.28000000000000003</v>
    <v>USD</v>
    <v>NYSE Arca</v>
    <v>ARCX</v>
    <v>3.4999999999999996E-3</v>
    <v>91.82</v>
    <v>ETF</v>
    <v>45818.000000034372</v>
    <v>193</v>
    <v>91.21</v>
    <v>1322252730.1600001</v>
    <v>Invesco S&amp;P500 Pre V</v>
    <v>91.56</v>
    <v>91.21</v>
    <v>91.36</v>
    <v>91.08</v>
    <v>RPV</v>
    <v>Invesco S&amp;P500 Pre V (ARCX:RPV)</v>
    <v>332932</v>
    <v>180643</v>
  </rv>
  <rv s="2">
    <v>194</v>
  </rv>
  <rv s="0">
    <v>https://www.bing.com/financeapi/forcetrigger?t=a21har&amp;q=ARCX%3aSPGP&amp;form=skydnc</v>
    <v>Learn more on Bing</v>
  </rv>
  <rv s="1">
    <v>en-US</v>
    <v>a21har</v>
    <v>268435456</v>
    <v>1</v>
    <v>Powered by Refinitiv</v>
    <v>0</v>
    <v>Invesco S&amp;P 500 GARP (ARCX:SPGP)</v>
    <v>2</v>
    <v>3</v>
    <v>Finance</v>
    <v>4</v>
    <v>112.8955</v>
    <v>84.13</v>
    <v>0.84279999999999999</v>
    <v>0.12</v>
    <v>1.346E-3</v>
    <v>1.155E-3</v>
    <v>0.14000000000000001</v>
    <v>USD</v>
    <v>NYSE Arca</v>
    <v>ARCX</v>
    <v>3.5999999999999999E-3</v>
    <v>104.73</v>
    <v>ETF</v>
    <v>45817.917519108596</v>
    <v>196</v>
    <v>103.9401</v>
    <v>2800939146.9000001</v>
    <v>Invesco S&amp;P 500 GARP</v>
    <v>104.28</v>
    <v>103.92</v>
    <v>104.04</v>
    <v>104.18</v>
    <v>SPGP</v>
    <v>Invesco S&amp;P 500 GARP (ARCX:SPGP)</v>
    <v>121791</v>
    <v>151996</v>
  </rv>
  <rv s="2">
    <v>197</v>
  </rv>
  <rv s="0">
    <v>https://www.bing.com/financeapi/forcetrigger?t=a23i2w&amp;q=ARCX%3aSPYV&amp;form=skydnc</v>
    <v>Learn more on Bing</v>
  </rv>
  <rv s="1">
    <v>en-US</v>
    <v>a23i2w</v>
    <v>268435456</v>
    <v>1</v>
    <v>Powered by Refinitiv</v>
    <v>0</v>
    <v>SPDR Ptf S&amp;P 500 Value (ARCX:SPYV)</v>
    <v>2</v>
    <v>3</v>
    <v>Finance</v>
    <v>4</v>
    <v>55.414999999999999</v>
    <v>44.39</v>
    <v>0.99790000000000001</v>
    <v>0.05</v>
    <v>9.2669999999999992E-3</v>
    <v>9.7300000000000002E-4</v>
    <v>0.47670000000000001</v>
    <v>USD</v>
    <v>NYSE Arca</v>
    <v>ARCX</v>
    <v>4.0000000000000002E-4</v>
    <v>51.645400000000002</v>
    <v>ETF</v>
    <v>45818.000000022657</v>
    <v>199</v>
    <v>51.33</v>
    <v>25641986558.57</v>
    <v>SPDR Ptf S&amp;P 500 Value</v>
    <v>51.48</v>
    <v>51.39</v>
    <v>51.44</v>
    <v>51.916699999999999</v>
    <v>SPYV</v>
    <v>SPDR Ptf S&amp;P 500 Value (ARCX:SPYV)</v>
    <v>2743535</v>
    <v>2637684</v>
  </rv>
  <rv s="2">
    <v>200</v>
  </rv>
  <rv s="0">
    <v>https://www.bing.com/financeapi/forcetrigger?t=a1vxww&amp;q=ARCX%3aIWV&amp;form=skydnc</v>
    <v>Learn more on Bing</v>
  </rv>
  <rv s="1">
    <v>en-US</v>
    <v>a1vxww</v>
    <v>268435456</v>
    <v>1</v>
    <v>Powered by Refinitiv</v>
    <v>0</v>
    <v>iShares:Russell 3000 (ARCX:IWV)</v>
    <v>2</v>
    <v>3</v>
    <v>Finance</v>
    <v>4</v>
    <v>350.23</v>
    <v>273.60000000000002</v>
    <v>1.0001</v>
    <v>0.28999999999999998</v>
    <v>-1.7055000000000001E-2</v>
    <v>8.5050000000000002E-4</v>
    <v>-5.82</v>
    <v>USD</v>
    <v>NYSE Arca</v>
    <v>ARCX</v>
    <v>2E-3</v>
    <v>342.14</v>
    <v>ETF</v>
    <v>45817.950197696096</v>
    <v>202</v>
    <v>340.61</v>
    <v>15104693698.32</v>
    <v>iShares:Russell 3000</v>
    <v>341.5</v>
    <v>340.96</v>
    <v>341.25</v>
    <v>335.43</v>
    <v>IWV</v>
    <v>iShares:Russell 3000 (ARCX:IWV)</v>
    <v>147988</v>
    <v>212698</v>
  </rv>
  <rv s="2">
    <v>203</v>
  </rv>
  <rv s="0">
    <v>https://www.bing.com/financeapi/forcetrigger?t=a1yndm&amp;q=BATS%3aNOBL&amp;form=skydnc</v>
    <v>Learn more on Bing</v>
  </rv>
  <rv s="1">
    <v>en-US</v>
    <v>a1yndm</v>
    <v>268435456</v>
    <v>1</v>
    <v>Powered by Refinitiv</v>
    <v>0</v>
    <v>ProShares:S&amp;P 500 Dv Art (BATS:NOBL)</v>
    <v>2</v>
    <v>3</v>
    <v>Finance</v>
    <v>12</v>
    <v>108.79</v>
    <v>89.76</v>
    <v>0.97240000000000004</v>
    <v>0.03</v>
    <v>9.1339999999999998E-3</v>
    <v>2.9809999999999998E-4</v>
    <v>0.92</v>
    <v>USD</v>
    <v>CBOE BZX Exchange</v>
    <v>BATS</v>
    <v>3.4999999999999996E-3</v>
    <v>101.1344</v>
    <v>ETF</v>
    <v>45817.966041075779</v>
    <v>205</v>
    <v>100.11</v>
    <v>11476474850</v>
    <v>ProShares:S&amp;P 500 Dv Art</v>
    <v>100.68</v>
    <v>100.65</v>
    <v>100.68</v>
    <v>101.64</v>
    <v>NOBL</v>
    <v>ProShares:S&amp;P 500 Dv Art (BATS:NOBL)</v>
    <v>664935</v>
    <v>587750</v>
  </rv>
  <rv s="2">
    <v>206</v>
  </rv>
  <rv s="0">
    <v>https://www.bing.com/financeapi/forcetrigger?t=a23goc&amp;q=ARCX%3aSPVU&amp;form=skydnc</v>
    <v>Learn more on Bing</v>
  </rv>
  <rv s="1">
    <v>en-US</v>
    <v>a23goc</v>
    <v>268435456</v>
    <v>1</v>
    <v>Powered by Refinitiv</v>
    <v>0</v>
    <v>Invesco S&amp;P500 EV (ARCX:SPVU)</v>
    <v>2</v>
    <v>3</v>
    <v>Finance</v>
    <v>4</v>
    <v>54.36</v>
    <v>45.0501</v>
    <v>1.1671</v>
    <v>1.1299999999999999E-2</v>
    <v>0</v>
    <v>2.221E-4</v>
    <v>0</v>
    <v>USD</v>
    <v>NYSE Arca</v>
    <v>ARCX</v>
    <v>1.2999999999999999E-3</v>
    <v>51.1</v>
    <v>ETF</v>
    <v>45817.840277777781</v>
    <v>208</v>
    <v>50.754100000000001</v>
    <v>103260987.06</v>
    <v>Invesco S&amp;P500 EV</v>
    <v>50.754100000000001</v>
    <v>50.876100000000001</v>
    <v>50.8874</v>
    <v>50.8874</v>
    <v>SPVU</v>
    <v>Invesco S&amp;P500 EV (ARCX:SPVU)</v>
    <v>3619</v>
    <v>13644</v>
  </rv>
  <rv s="2">
    <v>209</v>
  </rv>
  <rv s="0">
    <v>https://www.bing.com/financeapi/forcetrigger?t=a229vh&amp;q=ARCX%3aRSP&amp;form=skydnc</v>
    <v>Learn more on Bing</v>
  </rv>
  <rv s="1">
    <v>en-US</v>
    <v>a229vh</v>
    <v>268435456</v>
    <v>1</v>
    <v>Powered by Refinitiv</v>
    <v>0</v>
    <v>Invesco S&amp;P500 EWght (ARCX:RSP)</v>
    <v>2</v>
    <v>3</v>
    <v>Finance</v>
    <v>4</v>
    <v>188.16</v>
    <v>150.35</v>
    <v>0.90859999999999996</v>
    <v>0.03</v>
    <v>3.2450000000000001E-3</v>
    <v>1.6789999999999999E-4</v>
    <v>0.57999999999999996</v>
    <v>USD</v>
    <v>NYSE Arca</v>
    <v>ARCX</v>
    <v>2E-3</v>
    <v>179.58</v>
    <v>ETF</v>
    <v>45818.000000010936</v>
    <v>211</v>
    <v>178.23</v>
    <v>71423959388.449997</v>
    <v>Invesco S&amp;P500 EWght</v>
    <v>179.13</v>
    <v>178.69</v>
    <v>178.72</v>
    <v>179.3</v>
    <v>RSP</v>
    <v>Invesco S&amp;P500 EWght (ARCX:RSP)</v>
    <v>11541804</v>
    <v>8167240</v>
  </rv>
  <rv s="2">
    <v>212</v>
  </rv>
  <rv s="0">
    <v>https://www.bing.com/financeapi/forcetrigger?t=a23eyc&amp;q=ARCX%3aSPMO&amp;form=skydnc</v>
    <v>Learn more on Bing</v>
  </rv>
  <rv s="1">
    <v>en-US</v>
    <v>a23eyc</v>
    <v>268435456</v>
    <v>1</v>
    <v>Powered by Refinitiv</v>
    <v>0</v>
    <v>Invesco S&amp;P500 Momnt (ARCX:SPMO)</v>
    <v>2</v>
    <v>3</v>
    <v>Finance</v>
    <v>4</v>
    <v>107.54</v>
    <v>76.75</v>
    <v>0.98560000000000003</v>
    <v>-0.02</v>
    <v>4.6769999999999998E-4</v>
    <v>-1.8710000000000002E-4</v>
    <v>0.05</v>
    <v>USD</v>
    <v>NYSE Arca</v>
    <v>ARCX</v>
    <v>1.2999999999999999E-3</v>
    <v>107.125</v>
    <v>ETF</v>
    <v>45818.000000659376</v>
    <v>214</v>
    <v>106.1621</v>
    <v>7948305419.5600004</v>
    <v>Invesco S&amp;P500 Momnt</v>
    <v>106.89</v>
    <v>106.92</v>
    <v>106.9</v>
    <v>106.95</v>
    <v>SPMO</v>
    <v>Invesco S&amp;P500 Momnt (ARCX:SPMO)</v>
    <v>2028075</v>
    <v>1397170</v>
  </rv>
  <rv s="2">
    <v>215</v>
  </rv>
  <rv s="0">
    <v>https://www.bing.com/financeapi/forcetrigger?t=a22ckr&amp;q=ARCX%3aRWL&amp;form=skydnc</v>
    <v>Learn more on Bing</v>
  </rv>
  <rv s="1">
    <v>en-US</v>
    <v>a22ckr</v>
    <v>268435456</v>
    <v>1</v>
    <v>Powered by Refinitiv</v>
    <v>0</v>
    <v>Invesco S&amp;P 500 Revenue (ARCX:RWL)</v>
    <v>2</v>
    <v>3</v>
    <v>Finance</v>
    <v>4</v>
    <v>104.39</v>
    <v>86.971299999999999</v>
    <v>0.97060000000000002</v>
    <v>-7.0000000000000007E-2</v>
    <v>0</v>
    <v>-6.8800000000000003E-4</v>
    <v>0</v>
    <v>USD</v>
    <v>NYSE Arca</v>
    <v>ARCX</v>
    <v>3.9000000000000003E-3</v>
    <v>102.143</v>
    <v>ETF</v>
    <v>45818.000000034372</v>
    <v>217</v>
    <v>101.565</v>
    <v>5497340240.6099997</v>
    <v>Invesco S&amp;P 500 Revenue</v>
    <v>101.88</v>
    <v>101.75</v>
    <v>101.68</v>
    <v>101.68</v>
    <v>RWL</v>
    <v>Invesco S&amp;P 500 Revenue (ARCX:RWL)</v>
    <v>79104</v>
    <v>170245</v>
  </rv>
  <rv s="2">
    <v>218</v>
  </rv>
  <rv s="0">
    <v>https://www.bing.com/financeapi/forcetrigger?t=a1zxlh&amp;q=XNAS%3aPKW&amp;form=skydnc</v>
    <v>Learn more on Bing</v>
  </rv>
  <rv s="1">
    <v>en-US</v>
    <v>a1zxlh</v>
    <v>268435456</v>
    <v>1</v>
    <v>Powered by Refinitiv</v>
    <v>0</v>
    <v>Invesco Bybck Ach (XNAS:PKW)</v>
    <v>2</v>
    <v>3</v>
    <v>Finance</v>
    <v>4</v>
    <v>125.3122</v>
    <v>96.1</v>
    <v>1.1523000000000001</v>
    <v>-0.34</v>
    <v>0</v>
    <v>-2.8270000000000001E-3</v>
    <v>0</v>
    <v>USD</v>
    <v>Nasdaq Stock Market</v>
    <v>XNAS</v>
    <v>6.0999999999999995E-3</v>
    <v>120.59</v>
    <v>ETF</v>
    <v>45817.843750265623</v>
    <v>220</v>
    <v>119.72</v>
    <v>1267595913.8900001</v>
    <v>Invesco Bybck Ach</v>
    <v>120.26</v>
    <v>120.26</v>
    <v>119.92</v>
    <v>119.92</v>
    <v>PKW</v>
    <v>Invesco Bybck Ach (XNAS:PKW)</v>
    <v>30618</v>
    <v>26104</v>
  </rv>
  <rv s="2">
    <v>221</v>
  </rv>
  <rv s="0">
    <v>https://www.bing.com/financeapi/forcetrigger?t=a21hdm&amp;q=ARCX%3aSPVM&amp;form=skydnc</v>
    <v>Learn more on Bing</v>
  </rv>
  <rv s="1">
    <v>en-US</v>
    <v>a21hdm</v>
    <v>268435456</v>
    <v>1</v>
    <v>Powered by Refinitiv</v>
    <v>0</v>
    <v>Invesco S&amp;P 500 VM (ARCX:SPVM)</v>
    <v>2</v>
    <v>3</v>
    <v>Finance</v>
    <v>4</v>
    <v>63.5</v>
    <v>49.89</v>
    <v>1.0821000000000001</v>
    <v>-0.189</v>
    <v>0</v>
    <v>-3.2420000000000001E-3</v>
    <v>0</v>
    <v>USD</v>
    <v>NYSE Arca</v>
    <v>ARCX</v>
    <v>3.9000000000000003E-3</v>
    <v>58.35</v>
    <v>ETF</v>
    <v>45817.840277777781</v>
    <v>223</v>
    <v>57.98</v>
    <v>54955729.880000003</v>
    <v>Invesco S&amp;P 500 VM</v>
    <v>58.244799999999998</v>
    <v>58.3</v>
    <v>58.110999999999997</v>
    <v>58.110999999999997</v>
    <v>SPVM</v>
    <v>Invesco S&amp;P 500 VM (ARCX:SPVM)</v>
    <v>4653</v>
    <v>7206</v>
  </rv>
  <rv s="2">
    <v>224</v>
  </rv>
  <rv s="0">
    <v>https://www.bing.com/financeapi/forcetrigger?t=a21nw7&amp;q=BATS%3aQUAL&amp;form=skydnc</v>
    <v>Learn more on Bing</v>
  </rv>
  <rv s="1">
    <v>en-US</v>
    <v>a21nw7</v>
    <v>268435456</v>
    <v>1</v>
    <v>Powered by Refinitiv</v>
    <v>0</v>
    <v>iShares:MSCI USA QF (BATS:QUAL)</v>
    <v>2</v>
    <v>3</v>
    <v>Finance</v>
    <v>12</v>
    <v>187.26</v>
    <v>148.34010000000001</v>
    <v>1.0365</v>
    <v>-0.65</v>
    <v>1.6689999999999999E-3</v>
    <v>-3.6030000000000003E-3</v>
    <v>0.3</v>
    <v>USD</v>
    <v>CBOE BZX Exchange</v>
    <v>BATS</v>
    <v>1.5E-3</v>
    <v>180.82470000000001</v>
    <v>ETF</v>
    <v>45817.99006083281</v>
    <v>226</v>
    <v>179.74</v>
    <v>51116343807.68</v>
    <v>iShares:MSCI USA QF</v>
    <v>180.64</v>
    <v>180.4</v>
    <v>179.75</v>
    <v>180.04</v>
    <v>QUAL</v>
    <v>iShares:MSCI USA QF (BATS:QUAL)</v>
    <v>910057</v>
    <v>1336173</v>
  </rv>
  <rv s="2">
    <v>227</v>
  </rv>
  <rv s="0">
    <v>https://www.bing.com/financeapi/forcetrigger?t=a2289c&amp;q=ARCX%3aRPG&amp;form=skydnc</v>
    <v>Learn more on Bing</v>
  </rv>
  <rv s="1">
    <v>en-US</v>
    <v>a2289c</v>
    <v>268435456</v>
    <v>1</v>
    <v>Powered by Refinitiv</v>
    <v>0</v>
    <v>Invesco S&amp;P500 Pr Gr (ARCX:RPG)</v>
    <v>2</v>
    <v>3</v>
    <v>Finance</v>
    <v>4</v>
    <v>45.11</v>
    <v>32.159999999999997</v>
    <v>1.109</v>
    <v>-0.22</v>
    <v>-1.0984000000000001E-2</v>
    <v>-5.0090000000000004E-3</v>
    <v>-0.48</v>
    <v>USD</v>
    <v>NYSE Arca</v>
    <v>ARCX</v>
    <v>3.4999999999999996E-3</v>
    <v>44.03</v>
    <v>ETF</v>
    <v>45818.000000671091</v>
    <v>229</v>
    <v>43.695</v>
    <v>1563566724.4300001</v>
    <v>Invesco S&amp;P500 Pr Gr</v>
    <v>44.03</v>
    <v>43.92</v>
    <v>43.7</v>
    <v>43.22</v>
    <v>RPG</v>
    <v>Invesco S&amp;P500 Pr Gr (ARCX:RPG)</v>
    <v>302300</v>
    <v>378810</v>
  </rv>
  <rv s="2">
    <v>230</v>
  </rv>
  <rv s="0">
    <v>https://www.bing.com/financeapi/forcetrigger?t=a23f27&amp;q=BATS%3aSPMV&amp;form=skydnc</v>
    <v>Learn more on Bing</v>
  </rv>
  <rv s="1">
    <v>en-US</v>
    <v>a23f27</v>
    <v>268435456</v>
    <v>1</v>
    <v>Powered by Refinitiv</v>
    <v>0</v>
    <v>Invesco S&amp;P500 MV (BATS:SPMV)</v>
    <v>2</v>
    <v>3</v>
    <v>Finance</v>
    <v>12</v>
    <v>48.247500000000002</v>
    <v>42.382199999999997</v>
    <v>0.75670000000000004</v>
    <v>-0.24060000000000001</v>
    <v>0</v>
    <v>-5.0130000000000001E-3</v>
    <v>0</v>
    <v>USD</v>
    <v>CBOE BZX Exchange</v>
    <v>BATS</v>
    <v>1E-3</v>
    <v>47.752600000000001</v>
    <v>ETF</v>
    <v>45817.937565115622</v>
    <v>232</v>
    <v>47.63</v>
    <v>3808145.09</v>
    <v>Invesco S&amp;P500 MV</v>
    <v>47.63</v>
    <v>47.993200000000002</v>
    <v>47.752600000000001</v>
    <v>47.752600000000001</v>
    <v>SPMV</v>
    <v>Invesco S&amp;P500 MV (BATS:SPMV)</v>
    <v>128</v>
    <v>194</v>
  </rv>
  <rv s="2">
    <v>233</v>
  </rv>
  <rv s="0">
    <v>https://www.bing.com/financeapi/forcetrigger?t=a23epr&amp;q=ARCX%3aSPLV&amp;form=skydnc</v>
    <v>Learn more on Bing</v>
  </rv>
  <rv s="1">
    <v>en-US</v>
    <v>a23epr</v>
    <v>268435456</v>
    <v>1</v>
    <v>Powered by Refinitiv</v>
    <v>0</v>
    <v>Invesco S&amp;P500 LowVl (ARCX:SPLV)</v>
    <v>2</v>
    <v>3</v>
    <v>Finance</v>
    <v>4</v>
    <v>75.430000000000007</v>
    <v>64.45</v>
    <v>0.69159999999999999</v>
    <v>-0.39</v>
    <v>-1.4884E-2</v>
    <v>-5.3460000000000001E-3</v>
    <v>-1.08</v>
    <v>USD</v>
    <v>NYSE Arca</v>
    <v>ARCX</v>
    <v>2.5000000000000001E-3</v>
    <v>72.89</v>
    <v>ETF</v>
    <v>45818.000000022657</v>
    <v>235</v>
    <v>72.09</v>
    <v>8042252826.3999996</v>
    <v>Invesco S&amp;P500 LowVl</v>
    <v>72.81</v>
    <v>72.95</v>
    <v>72.56</v>
    <v>71.48</v>
    <v>SPLV</v>
    <v>Invesco S&amp;P500 LowVl (ARCX:SPLV)</v>
    <v>2080308</v>
    <v>2243955</v>
  </rv>
  <rv s="2">
    <v>236</v>
  </rv>
  <rv s="0">
    <v>https://www.bing.com/financeapi/forcetrigger?t=a24kar&amp;q=XNAS%3aTSLA&amp;form=skydnc</v>
    <v>Learn more on Bing</v>
  </rv>
  <rv s="5">
    <v>en-US</v>
    <v>a24kar</v>
    <v>268435456</v>
    <v>1</v>
    <v>Powered by Refinitiv</v>
    <v>13</v>
    <v>TESLA, INC. (XNAS:TSLA)</v>
    <v>14</v>
    <v>15</v>
    <v>Finance</v>
    <v>16</v>
    <v>488.53989999999999</v>
    <v>167.41</v>
    <v>2.4559000000000002</v>
    <v>13.44</v>
    <v>1.8180000000000002E-2</v>
    <v>4.5537999999999995E-2</v>
    <v>5.61</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309.83</v>
    <v>Automobiles &amp; Auto Parts</v>
    <v>Stock</v>
    <v>45817.999998564061</v>
    <v>238</v>
    <v>281.85000000000002</v>
    <v>993922602480</v>
    <v>TESLA, INC.</v>
    <v>TESLA, INC.</v>
    <v>285.95499999999998</v>
    <v>169.83869999999999</v>
    <v>295.14</v>
    <v>308.58</v>
    <v>314.19</v>
    <v>3220956000</v>
    <v>TSLA</v>
    <v>TESLA, INC. (XNAS:TSLA)</v>
    <v>140908876</v>
    <v>113366016</v>
    <v>2024</v>
  </rv>
  <rv s="2">
    <v>239</v>
  </rv>
  <rv s="0">
    <v>https://www.bing.com/financeapi/forcetrigger?t=a1u3p2&amp;q=XNAS%3aGOOG&amp;form=skydnc</v>
    <v>Learn more on Bing</v>
  </rv>
  <rv s="5">
    <v>en-US</v>
    <v>a1u3p2</v>
    <v>268435456</v>
    <v>1</v>
    <v>Powered by Refinitiv</v>
    <v>13</v>
    <v>ALPHABET INC. (XNAS:GOOG)</v>
    <v>14</v>
    <v>15</v>
    <v>Finance</v>
    <v>16</v>
    <v>208.7</v>
    <v>142.66</v>
    <v>1.0136000000000001</v>
    <v>2.92</v>
    <v>8.4449999999999998E-4</v>
    <v>1.6712999999999999E-2</v>
    <v>0.15</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185719</v>
    <v>Nasdaq Stock Market</v>
    <v>XNAS</v>
    <v>XNAS</v>
    <v>1600 Amphitheatre Parkway, MOUNTAIN VIEW, CA, 94043 US</v>
    <v>177.91499999999999</v>
    <v>Software &amp; IT Services</v>
    <v>Stock</v>
    <v>45817.999845392966</v>
    <v>241</v>
    <v>175.66</v>
    <v>2114376000000</v>
    <v>ALPHABET INC.</v>
    <v>ALPHABET INC.</v>
    <v>175.87</v>
    <v>19.484100000000002</v>
    <v>174.71</v>
    <v>177.63</v>
    <v>177.78</v>
    <v>12135000000</v>
    <v>GOOG</v>
    <v>ALPHABET INC. (XNAS:GOOG)</v>
    <v>18817587</v>
    <v>29009500</v>
    <v>2015</v>
  </rv>
  <rv s="2">
    <v>242</v>
  </rv>
  <rv s="0">
    <v>https://www.bing.com/financeapi/forcetrigger?t=a1nhlh&amp;q=XNAS%3aAMZN&amp;form=skydnc</v>
    <v>Learn more on Bing</v>
  </rv>
  <rv s="5">
    <v>en-US</v>
    <v>a1nhlh</v>
    <v>268435456</v>
    <v>1</v>
    <v>Powered by Refinitiv</v>
    <v>13</v>
    <v>AMAZON.COM, INC. (XNAS:AMZN)</v>
    <v>14</v>
    <v>15</v>
    <v>Finance</v>
    <v>16</v>
    <v>242.52</v>
    <v>151.61000000000001</v>
    <v>1.3347</v>
    <v>3.41</v>
    <v>1.9819999999999998E-3</v>
    <v>1.5966999999999999E-2</v>
    <v>0.43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1560000</v>
    <v>Nasdaq Stock Market</v>
    <v>XNAS</v>
    <v>XNAS</v>
    <v>410 Terry Avenue North, SEATTLE, WA, 98109 US</v>
    <v>217.85</v>
    <v>Diversified Retail</v>
    <v>Stock</v>
    <v>45817.999958240624</v>
    <v>244</v>
    <v>212.88</v>
    <v>2267335000000</v>
    <v>AMAZON.COM, INC.</v>
    <v>AMAZON.COM, INC.</v>
    <v>214.75</v>
    <v>34.831000000000003</v>
    <v>213.57</v>
    <v>216.98</v>
    <v>217.41</v>
    <v>10616350000</v>
    <v>AMZN</v>
    <v>AMAZON.COM, INC. (XNAS:AMZN)</v>
    <v>38102502</v>
    <v>41883235</v>
    <v>1996</v>
  </rv>
  <rv s="2">
    <v>245</v>
  </rv>
  <rv s="0">
    <v>https://www.bing.com/financeapi/forcetrigger?t=a1yv52&amp;q=XNAS%3aNVDA&amp;form=skydnc</v>
    <v>Learn more on Bing</v>
  </rv>
  <rv s="5">
    <v>en-US</v>
    <v>a1yv52</v>
    <v>268435456</v>
    <v>1</v>
    <v>Powered by Refinitiv</v>
    <v>13</v>
    <v>NVIDIA CORPORATION (XNAS:NVDA)</v>
    <v>14</v>
    <v>15</v>
    <v>Finance</v>
    <v>16</v>
    <v>153.13</v>
    <v>86.62</v>
    <v>2.1206</v>
    <v>0.91</v>
    <v>1.4019999999999999E-4</v>
    <v>6.4209999999999996E-3</v>
    <v>0.02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145</v>
    <v>Semiconductors &amp; Semiconductor Equipment</v>
    <v>Stock</v>
    <v>45817.999988969532</v>
    <v>247</v>
    <v>141.94</v>
    <v>3480172000000</v>
    <v>NVIDIA CORPORATION</v>
    <v>NVIDIA CORPORATION</v>
    <v>143.19</v>
    <v>45.942999999999998</v>
    <v>141.72</v>
    <v>142.63</v>
    <v>142.65</v>
    <v>24400000000</v>
    <v>NVDA</v>
    <v>NVIDIA CORPORATION (XNAS:NVDA)</v>
    <v>185114494</v>
    <v>219995372</v>
    <v>1998</v>
  </rv>
  <rv s="2">
    <v>248</v>
  </rv>
  <rv s="0">
    <v>http://en.wikipedia.org/wiki/Public_domain</v>
    <v>Public domain</v>
  </rv>
  <rv s="0">
    <v>https://en.wikipedia.org/wiki/Microsoft</v>
    <v>Wikipedia</v>
  </rv>
  <rv s="6">
    <v>250</v>
    <v>251</v>
  </rv>
  <rv s="7">
    <v>21</v>
    <v>https://www.bing.com/th?id=AMMS_e6e837c7bf3a77408619758b7447855a&amp;qlt=95</v>
    <v>252</v>
    <v>0</v>
    <v>https://www.bing.com/images/search?form=xlimg&amp;q=microsoft</v>
    <v>Image of MICROSOFT CORPORATION</v>
  </rv>
  <rv s="0">
    <v>https://www.bing.com/financeapi/forcetrigger?t=a1xzim&amp;q=XNAS%3aMSFT&amp;form=skydnc</v>
    <v>Learn more on Bing</v>
  </rv>
  <rv s="8">
    <v>en-US</v>
    <v>a1xzim</v>
    <v>268435456</v>
    <v>1</v>
    <v>Powered by Refinitiv</v>
    <v>17</v>
    <v>MICROSOFT CORPORATION (XNAS:MSFT)</v>
    <v>19</v>
    <v>20</v>
    <v>Finance</v>
    <v>16</v>
    <v>473.43</v>
    <v>344.79</v>
    <v>1.0259</v>
    <v>2.37</v>
    <v>-2.1679999999999998E-3</v>
    <v>5.0379999999999999E-3</v>
    <v>-1.0249999999999999</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473.43</v>
    <v>253</v>
    <v>Software &amp; IT Services</v>
    <v>Stock</v>
    <v>45817.99993289297</v>
    <v>254</v>
    <v>468.62</v>
    <v>3513735176000</v>
    <v>MICROSOFT CORPORATION</v>
    <v>MICROSOFT CORPORATION</v>
    <v>469.7</v>
    <v>36.3523</v>
    <v>470.38</v>
    <v>472.75</v>
    <v>471.72500000000002</v>
    <v>7432544000</v>
    <v>MSFT</v>
    <v>MICROSOFT CORPORATION (XNAS:MSFT)</v>
    <v>16469932</v>
    <v>19999870</v>
    <v>1993</v>
  </rv>
  <rv s="2">
    <v>255</v>
  </rv>
  <rv s="0">
    <v>https://www.bing.com/financeapi/forcetrigger?t=a1slm7&amp;q=XNAS%3aMETA&amp;form=skydnc</v>
    <v>Learn more on Bing</v>
  </rv>
  <rv s="5">
    <v>en-US</v>
    <v>a1slm7</v>
    <v>268435456</v>
    <v>1</v>
    <v>Powered by Refinitiv</v>
    <v>13</v>
    <v>Meta Platforms, Inc. (XNAS:META)</v>
    <v>14</v>
    <v>15</v>
    <v>Finance</v>
    <v>16</v>
    <v>740.91</v>
    <v>442.65</v>
    <v>1.2665</v>
    <v>-3.65</v>
    <v>3.5730000000000002E-3</v>
    <v>-5.2310000000000004E-3</v>
    <v>2.48</v>
    <v>USD</v>
    <v>Meta Platforms, Inc. builds technology that helps people connect and share, find communities, and grow businesses. The Company’s products enable people to connect and share with friends and family through mobile devices, personal computers, virtual reality (VR) and mixed reality (MR) headsets, and wearables. It operates through two segments: Family of Apps (FoA) and Reality Labs (RL). The FoA segment includes Facebook, Instagram, Messenger, Threads and WhatsApp. The RL includes augmented, mixed and virtual reality related consumer hardware, software, and content. Instagram is a place where people and creators can connect and express themselves through photos, video, and private messaging, and discover and shop from their favorite businesses. Threads is an application for text-based updates and public conversations. Its RL product offerings in VR include Meta Quest devices, and software and content available through the Meta Horizon Store, which enable a range of social experiences.</v>
    <v>76834</v>
    <v>Nasdaq Stock Market</v>
    <v>XNAS</v>
    <v>XNAS</v>
    <v>1 Meta Way, MENLO PARK, CA, 94025 US</v>
    <v>705.19</v>
    <v>Software &amp; IT Services</v>
    <v>Stock</v>
    <v>45817.999924767966</v>
    <v>257</v>
    <v>693.94</v>
    <v>1745093797619</v>
    <v>Meta Platforms, Inc.</v>
    <v>Meta Platforms, Inc.</v>
    <v>698.46</v>
    <v>26.539200000000001</v>
    <v>697.71</v>
    <v>694.06</v>
    <v>696.54</v>
    <v>2514327000</v>
    <v>META</v>
    <v>Meta Platforms, Inc. (XNAS:META)</v>
    <v>12773221</v>
    <v>13102947</v>
    <v>2004</v>
  </rv>
  <rv s="2">
    <v>258</v>
  </rv>
  <rv s="0">
    <v>https://www.bing.com/financeapi/forcetrigger?t=a1mou2&amp;q=XNAS%3aAAPL&amp;form=skydnc</v>
    <v>Learn more on Bing</v>
  </rv>
  <rv s="5">
    <v>en-US</v>
    <v>a1mou2</v>
    <v>268435456</v>
    <v>1</v>
    <v>Powered by Refinitiv</v>
    <v>13</v>
    <v>APPLE INC. (XNAS:AAPL)</v>
    <v>14</v>
    <v>15</v>
    <v>Finance</v>
    <v>16</v>
    <v>260.10000000000002</v>
    <v>169.21010000000001</v>
    <v>1.2102999999999999</v>
    <v>-2.4700000000000002</v>
    <v>1.539E-3</v>
    <v>-1.2113000000000001E-2</v>
    <v>0.31</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206</v>
    <v>Computers, Phones &amp; Household Electronics</v>
    <v>Stock</v>
    <v>45817.999975613282</v>
    <v>260</v>
    <v>200.02</v>
    <v>3008822953500</v>
    <v>APPLE INC.</v>
    <v>APPLE INC.</v>
    <v>204.39</v>
    <v>28.8019</v>
    <v>203.92</v>
    <v>201.45</v>
    <v>201.76</v>
    <v>14935830000</v>
    <v>AAPL</v>
    <v>APPLE INC. (XNAS:AAPL)</v>
    <v>72862557</v>
    <v>54630466</v>
    <v>1977</v>
  </rv>
  <rv s="2">
    <v>261</v>
  </rv>
  <rv s="0">
    <v>https://www.bing.com/financeapi/forcetrigger?t=a1vgp2&amp;q=ARCX%3aIJS&amp;form=skydnc</v>
    <v>Learn more on Bing</v>
  </rv>
  <rv s="1">
    <v>en-US</v>
    <v>a1vgp2</v>
    <v>268435456</v>
    <v>1</v>
    <v>Powered by Refinitiv</v>
    <v>0</v>
    <v>iShares:S&amp;P SC 600 Val (ARCX:IJS)</v>
    <v>2</v>
    <v>3</v>
    <v>Finance</v>
    <v>4</v>
    <v>119.28</v>
    <v>82.097200000000001</v>
    <v>0.99950000000000006</v>
    <v>1.39</v>
    <v>-1.0605999999999999E-2</v>
    <v>1.4239999999999999E-2</v>
    <v>-1.05</v>
    <v>USD</v>
    <v>NYSE Arca</v>
    <v>ARCX</v>
    <v>1.8E-3</v>
    <v>99.6</v>
    <v>ETF</v>
    <v>45817.840277777781</v>
    <v>263</v>
    <v>98.3</v>
    <v>6017841532.6199999</v>
    <v>iShares:S&amp;P SC 600 Val</v>
    <v>98.45</v>
    <v>97.61</v>
    <v>99</v>
    <v>97.95</v>
    <v>IJS</v>
    <v>iShares:S&amp;P SC 600 Val (ARCX:IJS)</v>
    <v>323956</v>
    <v>269513</v>
  </rv>
  <rv s="2">
    <v>264</v>
  </rv>
  <rv s="0">
    <v>https://www.bing.com/financeapi/forcetrigger?t=a1vgrw&amp;q=XNAS%3aIJT&amp;form=skydnc</v>
    <v>Learn more on Bing</v>
  </rv>
  <rv s="1">
    <v>en-US</v>
    <v>a1vgrw</v>
    <v>268435456</v>
    <v>1</v>
    <v>Powered by Refinitiv</v>
    <v>0</v>
    <v>iShares:S&amp;P SC 600 Gro (XNAS:IJT)</v>
    <v>2</v>
    <v>3</v>
    <v>Finance</v>
    <v>4</v>
    <v>152.05179999999999</v>
    <v>107.38</v>
    <v>0.99970000000000003</v>
    <v>0.85</v>
    <v>0</v>
    <v>6.4710000000000002E-3</v>
    <v>0</v>
    <v>USD</v>
    <v>Nasdaq Stock Market</v>
    <v>XNAS</v>
    <v>1.8E-3</v>
    <v>132.87</v>
    <v>ETF</v>
    <v>45817.88356186328</v>
    <v>266</v>
    <v>131.494</v>
    <v>5921111250.6099997</v>
    <v>iShares:S&amp;P SC 600 Gro</v>
    <v>132.1</v>
    <v>131.35</v>
    <v>132.19999999999999</v>
    <v>132.19999999999999</v>
    <v>IJT</v>
    <v>iShares:S&amp;P SC 600 Gro (XNAS:IJT)</v>
    <v>134319</v>
    <v>131534</v>
  </rv>
  <rv s="2">
    <v>267</v>
  </rv>
  <rv s="0">
    <v>https://www.bing.com/financeapi/forcetrigger?t=a1vggh&amp;q=ARCX%3aIJJ&amp;form=skydnc</v>
    <v>Learn more on Bing</v>
  </rv>
  <rv s="1">
    <v>en-US</v>
    <v>a1vggh</v>
    <v>268435456</v>
    <v>1</v>
    <v>Powered by Refinitiv</v>
    <v>0</v>
    <v>iShares:S&amp;P MC 400 Val (ARCX:IJJ)</v>
    <v>2</v>
    <v>3</v>
    <v>Finance</v>
    <v>4</v>
    <v>136.41999999999999</v>
    <v>102.24</v>
    <v>0.99950000000000006</v>
    <v>0.71</v>
    <v>1.4774000000000001E-2</v>
    <v>5.8620000000000009E-3</v>
    <v>1.7999000000000001</v>
    <v>USD</v>
    <v>NYSE Arca</v>
    <v>ARCX</v>
    <v>1.8E-3</v>
    <v>122.6211</v>
    <v>ETF</v>
    <v>45817.90642520781</v>
    <v>269</v>
    <v>121.36</v>
    <v>7498743632.4399996</v>
    <v>iShares:S&amp;P MC 400 Val</v>
    <v>121.65</v>
    <v>121.12</v>
    <v>121.83</v>
    <v>123.62990000000001</v>
    <v>IJJ</v>
    <v>iShares:S&amp;P MC 400 Val (ARCX:IJJ)</v>
    <v>150652</v>
    <v>192082</v>
  </rv>
  <rv s="2">
    <v>270</v>
  </rv>
  <rv s="0">
    <v>https://www.bing.com/financeapi/forcetrigger?t=a1vvsm&amp;q=ARCX%3aIVE&amp;form=skydnc</v>
    <v>Learn more on Bing</v>
  </rv>
  <rv s="1">
    <v>en-US</v>
    <v>a1vvsm</v>
    <v>268435456</v>
    <v>1</v>
    <v>Powered by Refinitiv</v>
    <v>0</v>
    <v>iShares:S&amp;P 500 Val (ARCX:IVE)</v>
    <v>2</v>
    <v>3</v>
    <v>Finance</v>
    <v>4</v>
    <v>206.63</v>
    <v>165.44630000000001</v>
    <v>1.0001</v>
    <v>0.46</v>
    <v>5.2139999999999999E-4</v>
    <v>2.4039999999999999E-3</v>
    <v>0.1</v>
    <v>USD</v>
    <v>NYSE Arca</v>
    <v>ARCX</v>
    <v>1.8E-3</v>
    <v>192.55</v>
    <v>ETF</v>
    <v>45818.000000010936</v>
    <v>272</v>
    <v>191.42</v>
    <v>37742560454.650002</v>
    <v>iShares:S&amp;P 500 Val</v>
    <v>191.96</v>
    <v>191.34</v>
    <v>191.8</v>
    <v>191.9</v>
    <v>IVE</v>
    <v>iShares:S&amp;P 500 Val (ARCX:IVE)</v>
    <v>454058</v>
    <v>858541</v>
  </rv>
  <rv s="2">
    <v>273</v>
  </rv>
  <rv s="0">
    <v>https://www.bing.com/financeapi/forcetrigger?t=a1vwur&amp;q=ARCX%3aIVW&amp;form=skydnc</v>
    <v>Learn more on Bing</v>
  </rv>
  <rv s="1">
    <v>en-US</v>
    <v>a1vwur</v>
    <v>268435456</v>
    <v>1</v>
    <v>Powered by Refinitiv</v>
    <v>0</v>
    <v>iShares:S&amp;P 500 Gro (ARCX:IVW)</v>
    <v>2</v>
    <v>3</v>
    <v>Finance</v>
    <v>4</v>
    <v>107.1401</v>
    <v>79.31</v>
    <v>0.99970000000000003</v>
    <v>0.03</v>
    <v>-2.8410000000000002E-4</v>
    <v>2.8420000000000002E-4</v>
    <v>-0.03</v>
    <v>USD</v>
    <v>NYSE Arca</v>
    <v>ARCX</v>
    <v>1.8E-3</v>
    <v>105.87</v>
    <v>ETF</v>
    <v>45817.941206967189</v>
    <v>275</v>
    <v>105.3</v>
    <v>56550159297.269997</v>
    <v>iShares:S&amp;P 500 Gro</v>
    <v>105.68</v>
    <v>105.55</v>
    <v>105.58</v>
    <v>105.55</v>
    <v>IVW</v>
    <v>iShares:S&amp;P 500 Gro (ARCX:IVW)</v>
    <v>2487700</v>
    <v>2605379</v>
  </rv>
  <rv s="2">
    <v>276</v>
  </rv>
  <rv s="0">
    <v>https://www.bing.com/financeapi/forcetrigger?t=a1vgjc&amp;q=ARCX%3aIJK&amp;form=skydnc</v>
    <v>Learn more on Bing</v>
  </rv>
  <rv s="1">
    <v>en-US</v>
    <v>a1vgjc</v>
    <v>268435456</v>
    <v>1</v>
    <v>Powered by Refinitiv</v>
    <v>0</v>
    <v>iShares:S&amp;P MC 400 Gro (ARCX:IJK)</v>
    <v>2</v>
    <v>3</v>
    <v>Finance</v>
    <v>4</v>
    <v>100.01</v>
    <v>71.69</v>
    <v>0.99970000000000003</v>
    <v>-0.14000000000000001</v>
    <v>-5.3400000000000001E-3</v>
    <v>-1.555E-3</v>
    <v>-0.48</v>
    <v>USD</v>
    <v>NYSE Arca</v>
    <v>ARCX</v>
    <v>1.7000000000000001E-3</v>
    <v>90.36</v>
    <v>ETF</v>
    <v>45817.91331950156</v>
    <v>278</v>
    <v>89.64</v>
    <v>8571052337.54</v>
    <v>iShares:S&amp;P MC 400 Gro</v>
    <v>90.26</v>
    <v>90.02</v>
    <v>89.88</v>
    <v>89.4</v>
    <v>IJK</v>
    <v>iShares:S&amp;P MC 400 Gro (ARCX:IJK)</v>
    <v>186470</v>
    <v>258438</v>
  </rv>
  <rv s="2">
    <v>279</v>
  </rv>
  <rv s="0">
    <v>https://www.bing.com/financeapi/forcetrigger?t=a1rmtc&amp;q=ARCX%3aEDC&amp;form=skydnc</v>
    <v>Learn more on Bing</v>
  </rv>
  <rv s="1">
    <v>en-US</v>
    <v>a1rmtc</v>
    <v>268435456</v>
    <v>1</v>
    <v>Powered by Refinitiv</v>
    <v>0</v>
    <v>Direxion:MSCI EM Bull 3X (ARCX:EDC)</v>
    <v>2</v>
    <v>3</v>
    <v>Finance</v>
    <v>4</v>
    <v>41.939900000000002</v>
    <v>20.13</v>
    <v>1.7002999999999999</v>
    <v>0.88</v>
    <v>-3.0080000000000003E-3</v>
    <v>2.4656999999999998E-2</v>
    <v>-0.11</v>
    <v>USD</v>
    <v>NYSE Arca</v>
    <v>ARCX</v>
    <v>1.0800000000000001E-2</v>
    <v>36.719900000000003</v>
    <v>ETF</v>
    <v>45817.916779988278</v>
    <v>281</v>
    <v>36.130000000000003</v>
    <v>66407963.329999998</v>
    <v>Direxion:MSCI EM Bull 3X</v>
    <v>36.22</v>
    <v>35.69</v>
    <v>36.57</v>
    <v>36.46</v>
    <v>EDC</v>
    <v>Direxion:MSCI EM Bull 3X (ARCX:EDC)</v>
    <v>66313</v>
    <v>84563</v>
  </rv>
  <rv s="2">
    <v>282</v>
  </rv>
  <rv s="0">
    <v>https://www.bing.com/financeapi/forcetrigger?t=a24cdm&amp;q=ARCX%3aTNA&amp;form=skydnc</v>
    <v>Learn more on Bing</v>
  </rv>
  <rv s="1">
    <v>en-US</v>
    <v>a24cdm</v>
    <v>268435456</v>
    <v>1</v>
    <v>Powered by Refinitiv</v>
    <v>0</v>
    <v>Direxion:Sm Cap Bull 3X (ARCX:TNA)</v>
    <v>2</v>
    <v>3</v>
    <v>Finance</v>
    <v>4</v>
    <v>58</v>
    <v>18.010000000000002</v>
    <v>3.0110999999999999</v>
    <v>0.64</v>
    <v>3.993E-3</v>
    <v>2.0049999999999998E-2</v>
    <v>0.13</v>
    <v>USD</v>
    <v>NYSE Arca</v>
    <v>ARCX</v>
    <v>1.03E-2</v>
    <v>33.009900000000002</v>
    <v>ETF</v>
    <v>45818.000000034372</v>
    <v>284</v>
    <v>32.24</v>
    <v>1834275090.1700001</v>
    <v>Direxion:Sm Cap Bull 3X</v>
    <v>32.82</v>
    <v>31.92</v>
    <v>32.56</v>
    <v>32.69</v>
    <v>TNA</v>
    <v>Direxion:Sm Cap Bull 3X (ARCX:TNA)</v>
    <v>14584728</v>
    <v>13838868</v>
  </rv>
  <rv s="2">
    <v>285</v>
  </rv>
  <rv s="3">
    <v>en-US</v>
    <v>ccizzr</v>
    <v>268435456</v>
    <v>1</v>
    <v>Powered by Refinitiv</v>
    <v>5</v>
    <v>Roundhill Dly 2XLg Mag 7 (BATS:MAGX)</v>
    <v>6</v>
    <v>7</v>
    <v>Finance</v>
    <v>12</v>
    <v>53.809899999999999</v>
    <v>22.41</v>
    <v>0.7</v>
    <v>1.0665000000000001E-2</v>
    <v>1.7999000000000001E-2</v>
    <v>0.42</v>
    <v>USD</v>
    <v>CBOE BZX Exchange</v>
    <v>BATS</v>
    <v>9.4999999999999998E-3</v>
    <v>39.68</v>
    <v>ETF</v>
    <v>45817.948771573436</v>
    <v>38.549999999999997</v>
    <v>69098682.420000002</v>
    <v>Roundhill Dly 2XLg Mag 7</v>
    <v>38.549999999999997</v>
    <v>38.89</v>
    <v>39.590000000000003</v>
    <v>39.799999999999997</v>
    <v>MAGX</v>
    <v>Roundhill Dly 2XLg Mag 7 (BATS:MAGX)</v>
    <v>56370</v>
    <v>129409</v>
  </rv>
  <rv s="2">
    <v>287</v>
  </rv>
  <rv s="0">
    <v>https://www.bing.com/financeapi/forcetrigger?t=a1xmgh&amp;q=ARCX%3aMIDU&amp;form=skydnc</v>
    <v>Learn more on Bing</v>
  </rv>
  <rv s="1">
    <v>en-US</v>
    <v>a1xmgh</v>
    <v>268435456</v>
    <v>1</v>
    <v>Powered by Refinitiv</v>
    <v>0</v>
    <v>Direxion:MidCapBull 3X (ARCX:MIDU)</v>
    <v>2</v>
    <v>3</v>
    <v>Finance</v>
    <v>4</v>
    <v>70.239999999999995</v>
    <v>25.3</v>
    <v>3.0253000000000001</v>
    <v>0.33</v>
    <v>4.5919999999999997E-3</v>
    <v>7.6349999999999994E-3</v>
    <v>0.2</v>
    <v>USD</v>
    <v>NYSE Arca</v>
    <v>ARCX</v>
    <v>9.8999999999999991E-3</v>
    <v>44.25</v>
    <v>ETF</v>
    <v>45818.000000010936</v>
    <v>289</v>
    <v>43.064999999999998</v>
    <v>76330995.939999998</v>
    <v>Direxion:MidCapBull 3X</v>
    <v>43.78</v>
    <v>43.22</v>
    <v>43.55</v>
    <v>43.75</v>
    <v>MIDU</v>
    <v>Direxion:MidCapBull 3X (ARCX:MIDU)</v>
    <v>37023</v>
    <v>60383</v>
  </rv>
  <rv s="2">
    <v>290</v>
  </rv>
  <rv s="0">
    <v>https://www.bing.com/financeapi/forcetrigger?t=a24g52&amp;q=XNAS%3aTQQQ&amp;form=skydnc</v>
    <v>Learn more on Bing</v>
  </rv>
  <rv s="1">
    <v>en-US</v>
    <v>a24g52</v>
    <v>268435456</v>
    <v>1</v>
    <v>Powered by Refinitiv</v>
    <v>0</v>
    <v>ProShares:UltP QQQ (XNAS:TQQQ)</v>
    <v>2</v>
    <v>3</v>
    <v>Finance</v>
    <v>4</v>
    <v>93.789199999999994</v>
    <v>35</v>
    <v>3.1842999999999999</v>
    <v>0.33</v>
    <v>1.606E-3</v>
    <v>4.4469999999999996E-3</v>
    <v>0.1197</v>
    <v>USD</v>
    <v>Nasdaq Stock Market</v>
    <v>XNAS</v>
    <v>8.3999999999999995E-3</v>
    <v>75.239999999999995</v>
    <v>ETF</v>
    <v>45817.999977256251</v>
    <v>292</v>
    <v>73.84</v>
    <v>24411655940</v>
    <v>ProShares:UltP QQQ</v>
    <v>74.31</v>
    <v>74.209999999999994</v>
    <v>74.540000000000006</v>
    <v>74.659700000000001</v>
    <v>TQQQ</v>
    <v>ProShares:UltP QQQ (XNAS:TQQQ)</v>
    <v>50181894</v>
    <v>82652641</v>
  </rv>
  <rv s="2">
    <v>293</v>
  </rv>
  <rv s="0">
    <v>https://www.bing.com/financeapi/forcetrigger?t=a23h6h&amp;q=ARCX%3aSPXL&amp;form=skydnc</v>
    <v>Learn more on Bing</v>
  </rv>
  <rv s="1">
    <v>en-US</v>
    <v>a23h6h</v>
    <v>268435456</v>
    <v>1</v>
    <v>Powered by Refinitiv</v>
    <v>0</v>
    <v>Direxion:S&amp;P 500 Bull 3X (ARCX:SPXL)</v>
    <v>2</v>
    <v>3</v>
    <v>Finance</v>
    <v>4</v>
    <v>190.34</v>
    <v>87.08</v>
    <v>3.04</v>
    <v>0.42</v>
    <v>1.6350000000000002E-3</v>
    <v>2.6490000000000003E-3</v>
    <v>0.26</v>
    <v>USD</v>
    <v>NYSE Arca</v>
    <v>ARCX</v>
    <v>8.6999999999999994E-3</v>
    <v>160.30000000000001</v>
    <v>ETF</v>
    <v>45817.999906585159</v>
    <v>295</v>
    <v>158.14099999999999</v>
    <v>5250394660.1999998</v>
    <v>Direxion:S&amp;P 500 Bull 3X</v>
    <v>159.08000000000001</v>
    <v>158.57</v>
    <v>158.99</v>
    <v>159.25</v>
    <v>SPXL</v>
    <v>Direxion:S&amp;P 500 Bull 3X (ARCX:SPXL)</v>
    <v>2091921</v>
    <v>5116579</v>
  </rv>
  <rv s="2">
    <v>296</v>
  </rv>
  <rv s="0">
    <v>https://www.bing.com/financeapi/forcetrigger?t=a24tcw&amp;q=ARCX%3aUDOW&amp;form=skydnc</v>
    <v>Learn more on Bing</v>
  </rv>
  <rv s="1">
    <v>en-US</v>
    <v>a24tcw</v>
    <v>268435456</v>
    <v>1</v>
    <v>Powered by Refinitiv</v>
    <v>0</v>
    <v>ProShares:UltP Dow30 (ARCX:UDOW)</v>
    <v>2</v>
    <v>3</v>
    <v>Finance</v>
    <v>4</v>
    <v>113.78</v>
    <v>56.9</v>
    <v>2.9007999999999998</v>
    <v>-0.03</v>
    <v>9.168999999999999E-4</v>
    <v>-3.4369999999999995E-4</v>
    <v>0.08</v>
    <v>USD</v>
    <v>NYSE Arca</v>
    <v>ARCX</v>
    <v>9.4999999999999998E-3</v>
    <v>88.09</v>
    <v>ETF</v>
    <v>45817.999943055467</v>
    <v>298</v>
    <v>86.07</v>
    <v>679207480</v>
    <v>ProShares:UltP Dow30</v>
    <v>87.35</v>
    <v>87.28</v>
    <v>87.25</v>
    <v>87.33</v>
    <v>UDOW</v>
    <v>ProShares:UltP Dow30 (ARCX:UDOW)</v>
    <v>1752089</v>
    <v>1699246</v>
  </rv>
  <rv s="2">
    <v>299</v>
  </rv>
  <rv s="0">
    <v>https://www.bing.com/financeapi/forcetrigger?t=a1qe8m&amp;q=ARCX%3aCSD&amp;form=skydnc</v>
    <v>Learn more on Bing</v>
  </rv>
  <rv s="1">
    <v>en-US</v>
    <v>a1qe8m</v>
    <v>268435456</v>
    <v>1</v>
    <v>Powered by Refinitiv</v>
    <v>0</v>
    <v>Invesco S&amp;P Spin-Off (ARCX:CSD)</v>
    <v>2</v>
    <v>3</v>
    <v>Finance</v>
    <v>4</v>
    <v>93.6</v>
    <v>63.06</v>
    <v>1.1008</v>
    <v>0.46</v>
    <v>0</v>
    <v>5.6399999999999992E-3</v>
    <v>0</v>
    <v>USD</v>
    <v>NYSE Arca</v>
    <v>ARCX</v>
    <v>6.4000000000000003E-3</v>
    <v>82.41</v>
    <v>ETF</v>
    <v>45818.000000034372</v>
    <v>301</v>
    <v>81.63</v>
    <v>66327091.93</v>
    <v>Invesco S&amp;P Spin-Off</v>
    <v>81.63</v>
    <v>81.56</v>
    <v>82.02</v>
    <v>82.02</v>
    <v>CSD</v>
    <v>Invesco S&amp;P Spin-Off (ARCX:CSD)</v>
    <v>1762</v>
    <v>2136</v>
  </rv>
  <rv s="2">
    <v>302</v>
  </rv>
  <rv s="0">
    <v>https://www.bing.com/financeapi/forcetrigger?t=a1vpoc&amp;q=ARCX%3aIPO&amp;form=skydnc</v>
    <v>Learn more on Bing</v>
  </rv>
  <rv s="1">
    <v>en-US</v>
    <v>a1vpoc</v>
    <v>268435456</v>
    <v>1</v>
    <v>Powered by Refinitiv</v>
    <v>0</v>
    <v>Renaissance IPO (ARCX:IPO)</v>
    <v>2</v>
    <v>3</v>
    <v>Finance</v>
    <v>4</v>
    <v>48.23</v>
    <v>31.2</v>
    <v>1.0817000000000001</v>
    <v>0.2586</v>
    <v>-1.1360000000000001E-3</v>
    <v>5.9119999999999997E-3</v>
    <v>-0.05</v>
    <v>USD</v>
    <v>NYSE Arca</v>
    <v>ARCX</v>
    <v>6.0000000000000001E-3</v>
    <v>44.22</v>
    <v>ETF</v>
    <v>45818.000000022657</v>
    <v>304</v>
    <v>43.571599999999997</v>
    <v>138851026.47</v>
    <v>Renaissance IPO</v>
    <v>43.96</v>
    <v>43.741399999999999</v>
    <v>44</v>
    <v>43.95</v>
    <v>IPO</v>
    <v>Renaissance IPO (ARCX:IPO)</v>
    <v>292627</v>
    <v>17320</v>
  </rv>
  <rv s="2">
    <v>305</v>
  </rv>
  <rv s="0">
    <v>https://www.bing.com/financeapi/forcetrigger?t=a21ch7&amp;q=ARCX%3aPSP&amp;form=skydnc</v>
    <v>Learn more on Bing</v>
  </rv>
  <rv s="1">
    <v>en-US</v>
    <v>a21ch7</v>
    <v>268435456</v>
    <v>1</v>
    <v>Powered by Refinitiv</v>
    <v>0</v>
    <v>Invesco Gl Lst Pr Eq (ARCX:PSP)</v>
    <v>2</v>
    <v>3</v>
    <v>Finance</v>
    <v>4</v>
    <v>72.14</v>
    <v>53.6</v>
    <v>1.1229</v>
    <v>0.16</v>
    <v>-2.9499999999999999E-3</v>
    <v>2.3649999999999999E-3</v>
    <v>-0.2</v>
    <v>USD</v>
    <v>NYSE Arca</v>
    <v>ARCX</v>
    <v>1.7899999999999999E-2</v>
    <v>68.180000000000007</v>
    <v>ETF</v>
    <v>45818.000000046093</v>
    <v>307</v>
    <v>67.510000000000005</v>
    <v>258056320.34</v>
    <v>Invesco Gl Lst Pr Eq</v>
    <v>67.83</v>
    <v>67.64</v>
    <v>67.8</v>
    <v>67.599999999999994</v>
    <v>PSP</v>
    <v>Invesco Gl Lst Pr Eq (ARCX:PSP)</v>
    <v>24163</v>
    <v>31239</v>
  </rv>
  <rv s="2">
    <v>308</v>
  </rv>
  <rv s="0">
    <v>https://www.bing.com/financeapi/forcetrigger?t=a1uclh&amp;q=ARCX%3aGURU&amp;form=skydnc</v>
    <v>Learn more on Bing</v>
  </rv>
  <rv s="1">
    <v>en-US</v>
    <v>a1uclh</v>
    <v>268435456</v>
    <v>1</v>
    <v>Powered by Refinitiv</v>
    <v>0</v>
    <v>Glbl X Guru Index ETF (ARCX:GURU)</v>
    <v>2</v>
    <v>3</v>
    <v>Finance</v>
    <v>4</v>
    <v>53.920900000000003</v>
    <v>41.289900000000003</v>
    <v>0.90820000000000001</v>
    <v>-0.25929999999999997</v>
    <v>0</v>
    <v>-4.9049999999999996E-3</v>
    <v>0</v>
    <v>USD</v>
    <v>NYSE Arca</v>
    <v>ARCX</v>
    <v>7.4999999999999997E-3</v>
    <v>52.89</v>
    <v>ETF</v>
    <v>45818.000000022657</v>
    <v>310</v>
    <v>52.6</v>
    <v>47418928.369999997</v>
    <v>Glbl X Guru Index ETF</v>
    <v>52.62</v>
    <v>52.859299999999998</v>
    <v>52.6</v>
    <v>52.6</v>
    <v>GURU</v>
    <v>Glbl X Guru Index ETF (ARCX:GURU)</v>
    <v>783</v>
    <v>2721</v>
  </rv>
  <rv s="2">
    <v>311</v>
  </rv>
  <rv s="0">
    <v>https://www.bing.com/financeapi/forcetrigger?t=a1x43m&amp;q=ARCX%3aLQD&amp;form=skydnc</v>
    <v>Learn more on Bing</v>
  </rv>
  <rv s="1">
    <v>en-US</v>
    <v>a1x43m</v>
    <v>268435456</v>
    <v>1</v>
    <v>Powered by Refinitiv</v>
    <v>0</v>
    <v>iShares:iBoxx $IG Corp (ARCX:LQD)</v>
    <v>2</v>
    <v>3</v>
    <v>Finance</v>
    <v>4</v>
    <v>114.07</v>
    <v>103.45</v>
    <v>1.2708999999999999</v>
    <v>0.32</v>
    <v>-6.5269999999999998E-4</v>
    <v>2.993E-3</v>
    <v>-7.0000000000000007E-2</v>
    <v>USD</v>
    <v>NYSE Arca</v>
    <v>ARCX</v>
    <v>1.4000000000000002E-3</v>
    <v>107.38</v>
    <v>ETF</v>
    <v>45818.000000022657</v>
    <v>313</v>
    <v>106.94</v>
    <v>30823830378.189999</v>
    <v>iShares:iBoxx $IG Corp</v>
    <v>106.99</v>
    <v>106.92</v>
    <v>107.24</v>
    <v>107.17</v>
    <v>LQD</v>
    <v>iShares:iBoxx $IG Corp (ARCX:LQD)</v>
    <v>18850014</v>
    <v>26997864</v>
  </rv>
  <rv s="2">
    <v>314</v>
  </rv>
  <rv s="0">
    <v>https://www.bing.com/financeapi/forcetrigger?t=a1zqqh&amp;q=XNAS%3aPFF&amp;form=skydnc</v>
    <v>Learn more on Bing</v>
  </rv>
  <rv s="1">
    <v>en-US</v>
    <v>a1zqqh</v>
    <v>268435456</v>
    <v>1</v>
    <v>Powered by Refinitiv</v>
    <v>0</v>
    <v>iShares:Pref and Inc Sec (XNAS:PFF)</v>
    <v>2</v>
    <v>3</v>
    <v>Finance</v>
    <v>4</v>
    <v>33.590000000000003</v>
    <v>28.7</v>
    <v>1.2041999999999999</v>
    <v>0.08</v>
    <v>1.977E-3</v>
    <v>2.643E-3</v>
    <v>0.06</v>
    <v>USD</v>
    <v>Nasdaq Stock Market</v>
    <v>XNAS</v>
    <v>4.5999999999999999E-3</v>
    <v>30.43</v>
    <v>ETF</v>
    <v>45817.945</v>
    <v>316</v>
    <v>30.25</v>
    <v>13613963412.85</v>
    <v>iShares:Pref and Inc Sec</v>
    <v>30.25</v>
    <v>30.27</v>
    <v>30.35</v>
    <v>30.41</v>
    <v>PFF</v>
    <v>iShares:Pref and Inc Sec (XNAS:PFF)</v>
    <v>2236054</v>
    <v>3212091</v>
  </rv>
  <rv s="2">
    <v>317</v>
  </rv>
  <rv s="0">
    <v>https://www.bing.com/financeapi/forcetrigger?t=a1y4u2&amp;q=ARCX%3aMUB&amp;form=skydnc</v>
    <v>Learn more on Bing</v>
  </rv>
  <rv s="1">
    <v>en-US</v>
    <v>a1y4u2</v>
    <v>268435456</v>
    <v>1</v>
    <v>Powered by Refinitiv</v>
    <v>0</v>
    <v>iShares:Natl Muni Bond (ARCX:MUB)</v>
    <v>2</v>
    <v>3</v>
    <v>Finance</v>
    <v>4</v>
    <v>108.81</v>
    <v>100.29</v>
    <v>0.9032</v>
    <v>0.27</v>
    <v>-6.7650000000000002E-4</v>
    <v>2.6159999999999998E-3</v>
    <v>-7.0000000000000007E-2</v>
    <v>USD</v>
    <v>NYSE Arca</v>
    <v>ARCX</v>
    <v>5.0000000000000001E-4</v>
    <v>103.5466</v>
    <v>ETF</v>
    <v>45817.909932106253</v>
    <v>319</v>
    <v>103.22</v>
    <v>38772446312.279999</v>
    <v>iShares:Natl Muni Bond</v>
    <v>103.3</v>
    <v>103.2</v>
    <v>103.47</v>
    <v>103.4</v>
    <v>MUB</v>
    <v>iShares:Natl Muni Bond (ARCX:MUB)</v>
    <v>6370284</v>
    <v>6022670</v>
  </rv>
  <rv s="2">
    <v>320</v>
  </rv>
  <rv s="0">
    <v>https://www.bing.com/financeapi/forcetrigger?t=a1rvsm&amp;q=XNAS%3aEMB&amp;form=skydnc</v>
    <v>Learn more on Bing</v>
  </rv>
  <rv s="1">
    <v>en-US</v>
    <v>a1rvsm</v>
    <v>268435456</v>
    <v>1</v>
    <v>Powered by Refinitiv</v>
    <v>0</v>
    <v>iShares:JPM USD EM Bd (XNAS:EMB)</v>
    <v>2</v>
    <v>3</v>
    <v>Finance</v>
    <v>4</v>
    <v>93.702200000000005</v>
    <v>84.78</v>
    <v>1.1073</v>
    <v>0.23</v>
    <v>2.4045999999999998E-2</v>
    <v>2.5430000000000001E-3</v>
    <v>2.1800000000000002</v>
    <v>USD</v>
    <v>Nasdaq Stock Market</v>
    <v>XNAS</v>
    <v>3.9000000000000003E-3</v>
    <v>90.76</v>
    <v>ETF</v>
    <v>45817.95603227969</v>
    <v>322</v>
    <v>90.46</v>
    <v>12616506422.24</v>
    <v>iShares:JPM USD EM Bd</v>
    <v>90.6</v>
    <v>90.43</v>
    <v>90.66</v>
    <v>92.84</v>
    <v>EMB</v>
    <v>iShares:JPM USD EM Bd (XNAS:EMB)</v>
    <v>3577564</v>
    <v>5091145</v>
  </rv>
  <rv s="2">
    <v>323</v>
  </rv>
  <rv s="0">
    <v>https://www.bing.com/financeapi/forcetrigger?t=a1oovh&amp;q=XNAS%3aBNDX&amp;form=skydnc</v>
    <v>Learn more on Bing</v>
  </rv>
  <rv s="1">
    <v>en-US</v>
    <v>a1oovh</v>
    <v>268435456</v>
    <v>1</v>
    <v>Powered by Refinitiv</v>
    <v>0</v>
    <v>Vanguard Tot Itl BI;ETF (XNAS:BNDX)</v>
    <v>2</v>
    <v>3</v>
    <v>Finance</v>
    <v>4</v>
    <v>50.6999</v>
    <v>48.29</v>
    <v>0.97619999999999996</v>
    <v>0.08</v>
    <v>1.4199999999999998E-3</v>
    <v>1.6259999999999998E-3</v>
    <v>7.0000000000000007E-2</v>
    <v>USD</v>
    <v>Nasdaq Stock Market</v>
    <v>XNAS</v>
    <v>7.000000000000001E-4</v>
    <v>49.28</v>
    <v>ETF</v>
    <v>45817.913319594532</v>
    <v>325</v>
    <v>49.1706</v>
    <v>66024827216</v>
    <v>Vanguard Tot Itl BI;ETF</v>
    <v>49.19</v>
    <v>49.2</v>
    <v>49.28</v>
    <v>49.35</v>
    <v>BNDX</v>
    <v>Vanguard Tot Itl BI;ETF (XNAS:BNDX)</v>
    <v>4632278</v>
    <v>4104547</v>
  </rv>
  <rv s="2">
    <v>326</v>
  </rv>
  <rv s="0">
    <v>https://www.bing.com/financeapi/forcetrigger?t=a24akr&amp;q=ARCX%3aTLH&amp;form=skydnc</v>
    <v>Learn more on Bing</v>
  </rv>
  <rv s="1">
    <v>en-US</v>
    <v>a24akr</v>
    <v>268435456</v>
    <v>1</v>
    <v>Powered by Refinitiv</v>
    <v>0</v>
    <v>iShares:10-20 Trs Bd ETF (ARCX:TLH)</v>
    <v>2</v>
    <v>3</v>
    <v>Finance</v>
    <v>4</v>
    <v>111.83</v>
    <v>96.74</v>
    <v>0.91639999999999999</v>
    <v>0.14000000000000001</v>
    <v>2.532E-3</v>
    <v>1.4199999999999998E-3</v>
    <v>0.25</v>
    <v>USD</v>
    <v>NYSE Arca</v>
    <v>ARCX</v>
    <v>1.5E-3</v>
    <v>98.94</v>
    <v>ETF</v>
    <v>45817.957943796093</v>
    <v>328</v>
    <v>98.36</v>
    <v>11077975127.870001</v>
    <v>iShares:10-20 Trs Bd ETF</v>
    <v>98.36</v>
    <v>98.61</v>
    <v>98.75</v>
    <v>99</v>
    <v>TLH</v>
    <v>iShares:10-20 Trs Bd ETF (ARCX:TLH)</v>
    <v>1658409</v>
    <v>2504624</v>
  </rv>
  <rv s="2">
    <v>329</v>
  </rv>
  <rv s="0">
    <v>https://www.bing.com/financeapi/forcetrigger?t=a2491h&amp;q=ARCX%3aTIP&amp;form=skydnc</v>
    <v>Learn more on Bing</v>
  </rv>
  <rv s="1">
    <v>en-US</v>
    <v>a2491h</v>
    <v>268435456</v>
    <v>1</v>
    <v>Powered by Refinitiv</v>
    <v>0</v>
    <v>iShares:TIPS Bd ETF (ARCX:TIP)</v>
    <v>2</v>
    <v>11</v>
    <v>Finance</v>
    <v>4</v>
    <v>111.505</v>
    <v>105.85</v>
    <v>0.99039999999999995</v>
    <v>0.15</v>
    <v>-4.6199999999999995E-4</v>
    <v>1.3880000000000001E-3</v>
    <v>-0.05</v>
    <v>USD</v>
    <v>NYSE Arca</v>
    <v>ARCX</v>
    <v>1.8E-3</v>
    <v>108.35</v>
    <v>ETF</v>
    <v>45818</v>
    <v>331</v>
    <v>108.0839</v>
    <v>13900867402.629999</v>
    <v>iShares:TIPS Bd ETF</v>
    <v>108.14</v>
    <v>108.07</v>
    <v>108.22</v>
    <v>108.17</v>
    <v>TIP</v>
    <v>iShares:TIPS Bd ETF (ARCX:TIP)</v>
    <v>2846287</v>
    <v>2116027</v>
  </rv>
  <rv s="2">
    <v>332</v>
  </rv>
  <rv s="0">
    <v>https://www.bing.com/financeapi/forcetrigger?t=a1n26h&amp;q=ARCX%3aAGG&amp;form=skydnc</v>
    <v>Learn more on Bing</v>
  </rv>
  <rv s="1">
    <v>en-US</v>
    <v>a1n26h</v>
    <v>268435456</v>
    <v>1</v>
    <v>Powered by Refinitiv</v>
    <v>0</v>
    <v>iShares:Core US Agg Bd (ARCX:AGG)</v>
    <v>2</v>
    <v>3</v>
    <v>Finance</v>
    <v>4</v>
    <v>102.04</v>
    <v>95.734999999999999</v>
    <v>0.99760000000000004</v>
    <v>0.12</v>
    <v>0</v>
    <v>1.2339999999999999E-3</v>
    <v>0</v>
    <v>USD</v>
    <v>NYSE Arca</v>
    <v>ARCX</v>
    <v>2.9999999999999997E-4</v>
    <v>97.54</v>
    <v>ETF</v>
    <v>45818.000000659376</v>
    <v>334</v>
    <v>97.27</v>
    <v>124325534433.67999</v>
    <v>iShares:Core US Agg Bd</v>
    <v>97.29</v>
    <v>97.28</v>
    <v>97.4</v>
    <v>97.4</v>
    <v>AGG</v>
    <v>iShares:Core US Agg Bd (ARCX:AGG)</v>
    <v>7096604</v>
    <v>9096285</v>
  </rv>
  <rv s="2">
    <v>335</v>
  </rv>
  <rv s="0">
    <v>https://www.bing.com/financeapi/forcetrigger?t=a1vbh7&amp;q=XNAS%3aIEI&amp;form=skydnc</v>
    <v>Learn more on Bing</v>
  </rv>
  <rv s="1">
    <v>en-US</v>
    <v>a1vbh7</v>
    <v>268435456</v>
    <v>1</v>
    <v>Powered by Refinitiv</v>
    <v>0</v>
    <v>iShares:3-7 Trs Bd (XNAS:IEI)</v>
    <v>2</v>
    <v>3</v>
    <v>Finance</v>
    <v>4</v>
    <v>120.33</v>
    <v>114.51</v>
    <v>1.2438</v>
    <v>0.14000000000000001</v>
    <v>4.2639999999999996E-4</v>
    <v>1.1949999999999999E-3</v>
    <v>0.05</v>
    <v>USD</v>
    <v>Nasdaq Stock Market</v>
    <v>XNAS</v>
    <v>1.5E-3</v>
    <v>117.34</v>
    <v>ETF</v>
    <v>45817.86949376094</v>
    <v>337</v>
    <v>117.14</v>
    <v>15592958692.809999</v>
    <v>iShares:3-7 Trs Bd</v>
    <v>117.14</v>
    <v>117.11</v>
    <v>117.25</v>
    <v>117.3</v>
    <v>IEI</v>
    <v>iShares:3-7 Trs Bd (XNAS:IEI)</v>
    <v>1402800</v>
    <v>2097483</v>
  </rv>
  <rv s="2">
    <v>338</v>
  </rv>
  <rv s="0">
    <v>https://www.bing.com/financeapi/forcetrigger?t=a24b5r&amp;q=XNAS%3aTLT&amp;form=skydnc</v>
    <v>Learn more on Bing</v>
  </rv>
  <rv s="1">
    <v>en-US</v>
    <v>a24b5r</v>
    <v>268435456</v>
    <v>1</v>
    <v>Powered by Refinitiv</v>
    <v>0</v>
    <v>iShares:20+ Trs Bd ETF (XNAS:TLT)</v>
    <v>2</v>
    <v>3</v>
    <v>Finance</v>
    <v>4</v>
    <v>101.64</v>
    <v>83.295000000000002</v>
    <v>1.0688</v>
    <v>0.09</v>
    <v>2.3410000000000002E-3</v>
    <v>1.054E-3</v>
    <v>0.2</v>
    <v>USD</v>
    <v>Nasdaq Stock Market</v>
    <v>XNAS</v>
    <v>1.5E-3</v>
    <v>85.64</v>
    <v>ETF</v>
    <v>45817.999851608591</v>
    <v>340</v>
    <v>85.034999999999997</v>
    <v>50897133541.870003</v>
    <v>iShares:20+ Trs Bd ETF</v>
    <v>85.04</v>
    <v>85.35</v>
    <v>85.44</v>
    <v>85.64</v>
    <v>TLT</v>
    <v>iShares:20+ Trs Bd ETF (XNAS:TLT)</v>
    <v>26560750</v>
    <v>40989749</v>
  </rv>
  <rv s="2">
    <v>341</v>
  </rv>
  <rv s="0">
    <v>https://www.bing.com/financeapi/forcetrigger?t=a1u477&amp;q=BATS%3aGOVT&amp;form=skydnc</v>
    <v>Learn more on Bing</v>
  </rv>
  <rv s="1">
    <v>en-US</v>
    <v>a1u477</v>
    <v>268435456</v>
    <v>1</v>
    <v>Powered by Refinitiv</v>
    <v>0</v>
    <v>iShares:US Treasury Bond (BATS:GOVT)</v>
    <v>2</v>
    <v>3</v>
    <v>Finance</v>
    <v>12</v>
    <v>23.689</v>
    <v>22.23</v>
    <v>0.88759999999999994</v>
    <v>0.02</v>
    <v>-4.3800000000000002E-3</v>
    <v>8.8570000000000001E-4</v>
    <v>-9.9000000000000005E-2</v>
    <v>USD</v>
    <v>CBOE BZX Exchange</v>
    <v>BATS</v>
    <v>5.0000000000000001E-4</v>
    <v>22.62</v>
    <v>ETF</v>
    <v>45817.989036943749</v>
    <v>343</v>
    <v>22.56</v>
    <v>27441162133.330002</v>
    <v>iShares:US Treasury Bond</v>
    <v>22.57</v>
    <v>22.58</v>
    <v>22.6</v>
    <v>22.506</v>
    <v>GOVT</v>
    <v>iShares:US Treasury Bond (BATS:GOVT)</v>
    <v>5570549</v>
    <v>10172864</v>
  </rv>
  <rv s="2">
    <v>344</v>
  </rv>
  <rv s="0">
    <v>https://www.bing.com/financeapi/forcetrigger?t=a22xmw&amp;q=XNAS%3aSHY&amp;form=skydnc</v>
    <v>Learn more on Bing</v>
  </rv>
  <rv s="1">
    <v>en-US</v>
    <v>a22xmw</v>
    <v>268435456</v>
    <v>1</v>
    <v>Powered by Refinitiv</v>
    <v>0</v>
    <v>iShares:1-3 Trs Bd ETF (XNAS:SHY)</v>
    <v>2</v>
    <v>3</v>
    <v>Finance</v>
    <v>4</v>
    <v>83.3</v>
    <v>81.260000000000005</v>
    <v>1.0313000000000001</v>
    <v>0.06</v>
    <v>4.8619999999999995E-4</v>
    <v>7.2980000000000007E-4</v>
    <v>0.04</v>
    <v>USD</v>
    <v>Nasdaq Stock Market</v>
    <v>XNAS</v>
    <v>1.5E-3</v>
    <v>82.3</v>
    <v>ETF</v>
    <v>45817.994485810159</v>
    <v>346</v>
    <v>82.24</v>
    <v>24257050690.84</v>
    <v>iShares:1-3 Trs Bd ETF</v>
    <v>82.24</v>
    <v>82.21</v>
    <v>82.27</v>
    <v>82.31</v>
    <v>SHY</v>
    <v>iShares:1-3 Trs Bd ETF (XNAS:SHY)</v>
    <v>2166870</v>
    <v>3691914</v>
  </rv>
  <rv s="2">
    <v>347</v>
  </rv>
  <rv s="0">
    <v>https://www.bing.com/financeapi/forcetrigger?t=a1v1r7&amp;q=ARCX%3aHYG&amp;form=skydnc</v>
    <v>Learn more on Bing</v>
  </rv>
  <rv s="1">
    <v>en-US</v>
    <v>a1v1r7</v>
    <v>268435456</v>
    <v>1</v>
    <v>Powered by Refinitiv</v>
    <v>0</v>
    <v>iShares:iBoxx $HY Corp (ARCX:HYG)</v>
    <v>2</v>
    <v>3</v>
    <v>Finance</v>
    <v>4</v>
    <v>80.37</v>
    <v>75.08</v>
    <v>1.0838000000000001</v>
    <v>0.04</v>
    <v>2.4449999999999998E-4</v>
    <v>5.0440000000000001E-4</v>
    <v>1.9400000000000001E-2</v>
    <v>USD</v>
    <v>NYSE Arca</v>
    <v>ARCX</v>
    <v>4.8999999999999998E-3</v>
    <v>79.424999999999997</v>
    <v>ETF</v>
    <v>45818.000000034372</v>
    <v>349</v>
    <v>79.279200000000003</v>
    <v>15944028210.17</v>
    <v>iShares:iBoxx $HY Corp</v>
    <v>79.28</v>
    <v>79.3</v>
    <v>79.34</v>
    <v>79.359399999999994</v>
    <v>HYG</v>
    <v>iShares:iBoxx $HY Corp (ARCX:HYG)</v>
    <v>30168999</v>
    <v>38157602</v>
  </rv>
  <rv s="2">
    <v>350</v>
  </rv>
  <rv s="0">
    <v>https://www.bing.com/financeapi/forcetrigger?t=a1ve9c&amp;q=XNAS%3aIGOV&amp;form=skydnc</v>
    <v>Learn more on Bing</v>
  </rv>
  <rv s="1">
    <v>en-US</v>
    <v>a1ve9c</v>
    <v>268435456</v>
    <v>1</v>
    <v>Powered by Refinitiv</v>
    <v>0</v>
    <v>iShares:Itl Trs Bd (XNAS:IGOV)</v>
    <v>2</v>
    <v>3</v>
    <v>Finance</v>
    <v>4</v>
    <v>43.07</v>
    <v>37.299999999999997</v>
    <v>0.93710000000000004</v>
    <v>0.01</v>
    <v>-1.7410000000000002E-2</v>
    <v>2.385E-4</v>
    <v>-0.73</v>
    <v>USD</v>
    <v>Nasdaq Stock Market</v>
    <v>XNAS</v>
    <v>3.4999999999999996E-3</v>
    <v>41.987099999999998</v>
    <v>ETF</v>
    <v>45817.843750265623</v>
    <v>352</v>
    <v>41.7637</v>
    <v>1016997509.89</v>
    <v>iShares:Itl Trs Bd</v>
    <v>41.92</v>
    <v>41.92</v>
    <v>41.93</v>
    <v>41.2</v>
    <v>IGOV</v>
    <v>iShares:Itl Trs Bd (XNAS:IGOV)</v>
    <v>288743</v>
    <v>661505</v>
  </rv>
  <rv s="2">
    <v>353</v>
  </rv>
  <rv s="0">
    <v>https://www.bing.com/financeapi/forcetrigger?t=a1okbh&amp;q=ARCX%3aBKLN&amp;form=skydnc</v>
    <v>Learn more on Bing</v>
  </rv>
  <rv s="1">
    <v>en-US</v>
    <v>a1okbh</v>
    <v>268435456</v>
    <v>1</v>
    <v>Powered by Refinitiv</v>
    <v>0</v>
    <v>Invesco Senior Loan (ARCX:BKLN)</v>
    <v>2</v>
    <v>3</v>
    <v>Finance</v>
    <v>4</v>
    <v>21.204999999999998</v>
    <v>20.02</v>
    <v>0.4113</v>
    <v>0</v>
    <v>-2.3900000000000002E-5</v>
    <v>0</v>
    <v>-5.0000000000000001E-4</v>
    <v>USD</v>
    <v>NYSE Arca</v>
    <v>ARCX</v>
    <v>6.5000000000000006E-3</v>
    <v>20.92</v>
    <v>ETF</v>
    <v>45818.000000034372</v>
    <v>355</v>
    <v>20.9</v>
    <v>6742180553.4799995</v>
    <v>Invesco Senior Loan</v>
    <v>20.91</v>
    <v>20.92</v>
    <v>20.92</v>
    <v>20.919499999999999</v>
    <v>BKLN</v>
    <v>Invesco Senior Loan (ARCX:BKLN)</v>
    <v>8119391</v>
    <v>10895924</v>
  </rv>
  <rv s="2">
    <v>356</v>
  </rv>
  <rv s="0">
    <v>https://www.bing.com/financeapi/forcetrigger?t=a26hk2&amp;q=ARCX%3aZROZ&amp;form=skydnc</v>
    <v>Learn more on Bing</v>
  </rv>
  <rv s="1">
    <v>en-US</v>
    <v>a26hk2</v>
    <v>268435456</v>
    <v>1</v>
    <v>Powered by Refinitiv</v>
    <v>0</v>
    <v>PIMCO ETF:25+ Yr US Tres (ARCX:ZROZ)</v>
    <v>2</v>
    <v>3</v>
    <v>Finance</v>
    <v>4</v>
    <v>87.359899999999996</v>
    <v>61</v>
    <v>1.569</v>
    <v>-0.14000000000000001</v>
    <v>2.121E-2</v>
    <v>-2.1789999999999999E-3</v>
    <v>1.36</v>
    <v>USD</v>
    <v>NYSE Arca</v>
    <v>ARCX</v>
    <v>1.5E-3</v>
    <v>64.38</v>
    <v>ETF</v>
    <v>45817.875618587503</v>
    <v>358</v>
    <v>63.53</v>
    <v>1526956224.8599999</v>
    <v>PIMCO ETF:25+ Yr US Tres</v>
    <v>63.69</v>
    <v>64.260000000000005</v>
    <v>64.12</v>
    <v>65.48</v>
    <v>ZROZ</v>
    <v>PIMCO ETF:25+ Yr US Tres (ARCX:ZROZ)</v>
    <v>221960</v>
    <v>426130</v>
  </rv>
  <rv s="2">
    <v>359</v>
  </rv>
  <rv s="0">
    <v>https://www.bing.com/financeapi/forcetrigger?t=a24yz2&amp;q=ARCX%3aURA&amp;form=skydnc</v>
    <v>Learn more on Bing</v>
  </rv>
  <rv s="1">
    <v>en-US</v>
    <v>a24yz2</v>
    <v>268435456</v>
    <v>1</v>
    <v>Powered by Refinitiv</v>
    <v>0</v>
    <v>Glbl X Uranium ETF (ARCX:URA)</v>
    <v>2</v>
    <v>3</v>
    <v>Finance</v>
    <v>4</v>
    <v>35.689900000000002</v>
    <v>19.5</v>
    <v>0.91369999999999996</v>
    <v>1.54</v>
    <v>2.5580000000000004E-3</v>
    <v>4.5778999999999993E-2</v>
    <v>0.09</v>
    <v>USD</v>
    <v>NYSE Arca</v>
    <v>ARCX</v>
    <v>6.8999999999999999E-3</v>
    <v>35.689900000000002</v>
    <v>ETF</v>
    <v>45818.000000948436</v>
    <v>361</v>
    <v>34.28</v>
    <v>3228377472.29</v>
    <v>Glbl X Uranium ETF</v>
    <v>34.28</v>
    <v>33.64</v>
    <v>35.18</v>
    <v>35.270000000000003</v>
    <v>URA</v>
    <v>Glbl X Uranium ETF (ARCX:URA)</v>
    <v>7088611</v>
    <v>3545149</v>
  </rv>
  <rv s="2">
    <v>362</v>
  </rv>
  <rv s="0">
    <v>https://www.bing.com/financeapi/forcetrigger?t=a214yc&amp;q=ARCX%3aPPLT&amp;form=skydnc</v>
    <v>Learn more on Bing</v>
  </rv>
  <rv s="1">
    <v>en-US</v>
    <v>a214yc</v>
    <v>268435456</v>
    <v>1</v>
    <v>Powered by Refinitiv</v>
    <v>0</v>
    <v>abrdn:Physical Platinum (ARCX:PPLT)</v>
    <v>2</v>
    <v>3</v>
    <v>Finance</v>
    <v>4</v>
    <v>111.45</v>
    <v>82.35</v>
    <v>0.73909999999999998</v>
    <v>4.0999999999999996</v>
    <v>5.6710000000000007E-3</v>
    <v>3.8317999999999998E-2</v>
    <v>0.63</v>
    <v>USD</v>
    <v>NYSE Arca</v>
    <v>ARCX</v>
    <v>6.0000000000000001E-3</v>
    <v>111.45</v>
    <v>ETF</v>
    <v>45818.000000034372</v>
    <v>364</v>
    <v>109.14</v>
    <v>1191025631.28</v>
    <v>abrdn:Physical Platinum</v>
    <v>109.28</v>
    <v>107</v>
    <v>111.1</v>
    <v>111.73</v>
    <v>PPLT</v>
    <v>abrdn:Physical Platinum (ARCX:PPLT)</v>
    <v>656701</v>
    <v>328594</v>
  </rv>
  <rv s="2">
    <v>365</v>
  </rv>
  <rv s="0">
    <v>https://www.bing.com/financeapi/forcetrigger?t=a1zgdm&amp;q=ARCX%3aPALL&amp;form=skydnc</v>
    <v>Learn more on Bing</v>
  </rv>
  <rv s="1">
    <v>en-US</v>
    <v>a1zgdm</v>
    <v>268435456</v>
    <v>1</v>
    <v>Powered by Refinitiv</v>
    <v>0</v>
    <v>abrdn:Physical Palladium (ARCX:PALL)</v>
    <v>2</v>
    <v>3</v>
    <v>Finance</v>
    <v>4</v>
    <v>113.92</v>
    <v>77.520700000000005</v>
    <v>0.61619999999999997</v>
    <v>2.94</v>
    <v>-5.0710000000000002E-4</v>
    <v>3.0733999999999997E-2</v>
    <v>-0.05</v>
    <v>USD</v>
    <v>NYSE Arca</v>
    <v>ARCX</v>
    <v>6.0000000000000001E-3</v>
    <v>98.95</v>
    <v>ETF</v>
    <v>45817.993026168748</v>
    <v>367</v>
    <v>97.35</v>
    <v>383340169.55000001</v>
    <v>abrdn:Physical Palladium</v>
    <v>97.67</v>
    <v>95.66</v>
    <v>98.6</v>
    <v>98.55</v>
    <v>PALL</v>
    <v>abrdn:Physical Palladium (ARCX:PALL)</v>
    <v>360411</v>
    <v>201876</v>
  </rv>
  <rv s="2">
    <v>368</v>
  </rv>
  <rv s="0">
    <v>https://www.bing.com/financeapi/forcetrigger?t=a233ur&amp;q=ARCX%3aSLV&amp;form=skydnc</v>
    <v>Learn more on Bing</v>
  </rv>
  <rv s="1">
    <v>en-US</v>
    <v>a233ur</v>
    <v>268435456</v>
    <v>1</v>
    <v>Powered by Refinitiv</v>
    <v>0</v>
    <v>IShares:Silver Trust (ARCX:SLV)</v>
    <v>2</v>
    <v>3</v>
    <v>Finance</v>
    <v>4</v>
    <v>33.54</v>
    <v>24.25</v>
    <v>1.3882000000000001</v>
    <v>0.7</v>
    <v>2.3960000000000001E-3</v>
    <v>2.1413000000000001E-2</v>
    <v>0.08</v>
    <v>USD</v>
    <v>NYSE Arca</v>
    <v>ARCX</v>
    <v>5.0000000000000001E-3</v>
    <v>33.54</v>
    <v>ETF</v>
    <v>45818.000000022657</v>
    <v>370</v>
    <v>33</v>
    <v>15206646821.07</v>
    <v>IShares:Silver Trust</v>
    <v>33.1</v>
    <v>32.69</v>
    <v>33.39</v>
    <v>33.47</v>
    <v>SLV</v>
    <v>IShares:Silver Trust (ARCX:SLV)</v>
    <v>33931372</v>
    <v>17113827</v>
  </rv>
  <rv s="2">
    <v>371</v>
  </rv>
  <rv s="0">
    <v>https://www.bing.com/financeapi/forcetrigger?t=a1q7rw&amp;q=ARCX%3aCPER&amp;form=skydnc</v>
    <v>Learn more on Bing</v>
  </rv>
  <rv s="1">
    <v>en-US</v>
    <v>a1q7rw</v>
    <v>268435456</v>
    <v>1</v>
    <v>Powered by Refinitiv</v>
    <v>0</v>
    <v>United States Copper Idx (ARCX:CPER)</v>
    <v>2</v>
    <v>3</v>
    <v>Finance</v>
    <v>4</v>
    <v>33.11</v>
    <v>24.7</v>
    <v>0.86580000000000001</v>
    <v>0.45</v>
    <v>-3.2590000000000001E-4</v>
    <v>1.4886E-2</v>
    <v>-0.01</v>
    <v>USD</v>
    <v>NYSE Arca</v>
    <v>ARCX</v>
    <v>1.06E-2</v>
    <v>30.89</v>
    <v>ETF</v>
    <v>45817.979429582811</v>
    <v>373</v>
    <v>30.61</v>
    <v>172502582.44999999</v>
    <v>United States Copper Idx</v>
    <v>30.7</v>
    <v>30.23</v>
    <v>30.68</v>
    <v>30.67</v>
    <v>CPER</v>
    <v>United States Copper Idx (ARCX:CPER)</v>
    <v>123612</v>
    <v>146588</v>
  </rv>
  <rv s="2">
    <v>374</v>
  </rv>
  <rv s="0">
    <v>https://www.bing.com/financeapi/forcetrigger?t=a268nm&amp;q=ARCX%3aXME&amp;form=skydnc</v>
    <v>Learn more on Bing</v>
  </rv>
  <rv s="1">
    <v>en-US</v>
    <v>a268nm</v>
    <v>268435456</v>
    <v>1</v>
    <v>Powered by Refinitiv</v>
    <v>0</v>
    <v>SPDR S&amp;P Metals&amp;Mining (ARCX:XME)</v>
    <v>2</v>
    <v>3</v>
    <v>Finance</v>
    <v>4</v>
    <v>70.489999999999995</v>
    <v>45.89</v>
    <v>1.2707999999999999</v>
    <v>0.95</v>
    <v>1.224E-3</v>
    <v>1.4749000000000002E-2</v>
    <v>0.08</v>
    <v>USD</v>
    <v>NYSE Arca</v>
    <v>ARCX</v>
    <v>3.4999999999999996E-3</v>
    <v>65.805000000000007</v>
    <v>ETF</v>
    <v>45818.000000034372</v>
    <v>376</v>
    <v>65.040000000000006</v>
    <v>1694562886.77</v>
    <v>SPDR S&amp;P Metals&amp;Mining</v>
    <v>65.069999999999993</v>
    <v>64.41</v>
    <v>65.36</v>
    <v>65.44</v>
    <v>XME</v>
    <v>SPDR S&amp;P Metals&amp;Mining (ARCX:XME)</v>
    <v>1438514</v>
    <v>1658907</v>
  </rv>
  <rv s="2">
    <v>377</v>
  </rv>
  <rv s="0">
    <v>https://www.bing.com/financeapi/forcetrigger?t=a25yoc&amp;q=XNAS%3aWOOD&amp;form=skydnc</v>
    <v>Learn more on Bing</v>
  </rv>
  <rv s="1">
    <v>en-US</v>
    <v>a25yoc</v>
    <v>268435456</v>
    <v>1</v>
    <v>Powered by Refinitiv</v>
    <v>0</v>
    <v>iShares:Gl Timber (XNAS:WOOD)</v>
    <v>2</v>
    <v>3</v>
    <v>Finance</v>
    <v>4</v>
    <v>86.79</v>
    <v>66.25</v>
    <v>0.92430000000000001</v>
    <v>0.78</v>
    <v>-6.3899999999999998E-3</v>
    <v>1.0492E-2</v>
    <v>-0.48</v>
    <v>USD</v>
    <v>Nasdaq Stock Market</v>
    <v>XNAS</v>
    <v>4.0999999999999995E-3</v>
    <v>75.98</v>
    <v>ETF</v>
    <v>45817.843750265623</v>
    <v>379</v>
    <v>74.489999999999995</v>
    <v>204233425.88</v>
    <v>iShares:Gl Timber</v>
    <v>75.98</v>
    <v>74.34</v>
    <v>75.12</v>
    <v>74.64</v>
    <v>WOOD</v>
    <v>iShares:Gl Timber (XNAS:WOOD)</v>
    <v>2935</v>
    <v>6266</v>
  </rv>
  <rv s="2">
    <v>380</v>
  </rv>
  <rv s="0">
    <v>https://www.bing.com/financeapi/forcetrigger?t=a1wxdm&amp;q=ARCX%3aLIT&amp;form=skydnc</v>
    <v>Learn more on Bing</v>
  </rv>
  <rv s="1">
    <v>en-US</v>
    <v>a1wxdm</v>
    <v>268435456</v>
    <v>1</v>
    <v>Powered by Refinitiv</v>
    <v>0</v>
    <v>Glbl X Lith &amp; Bat Tech (ARCX:LIT)</v>
    <v>2</v>
    <v>3</v>
    <v>Finance</v>
    <v>4</v>
    <v>49.115000000000002</v>
    <v>31.44</v>
    <v>0.52980000000000005</v>
    <v>0.36</v>
    <v>-7.1850000000000004E-3</v>
    <v>9.672E-3</v>
    <v>-0.27</v>
    <v>USD</v>
    <v>NYSE Arca</v>
    <v>ARCX</v>
    <v>7.4999999999999997E-3</v>
    <v>37.78</v>
    <v>ETF</v>
    <v>45817.991525381251</v>
    <v>382</v>
    <v>36.909999999999997</v>
    <v>798524270.34000003</v>
    <v>Glbl X Lith &amp; Bat Tech</v>
    <v>36.909999999999997</v>
    <v>37.22</v>
    <v>37.58</v>
    <v>37.31</v>
    <v>LIT</v>
    <v>Glbl X Lith &amp; Bat Tech (ARCX:LIT)</v>
    <v>159515</v>
    <v>155671</v>
  </rv>
  <rv s="2">
    <v>383</v>
  </rv>
  <rv s="0">
    <v>https://www.bing.com/financeapi/forcetrigger?t=a1y9kr&amp;q=ARCX%3aNANR&amp;form=skydnc</v>
    <v>Learn more on Bing</v>
  </rv>
  <rv s="1">
    <v>en-US</v>
    <v>a1y9kr</v>
    <v>268435456</v>
    <v>1</v>
    <v>Powered by Refinitiv</v>
    <v>0</v>
    <v>SPDR S&amp;P N Amer Ntrl Res (ARCX:NANR)</v>
    <v>2</v>
    <v>3</v>
    <v>Finance</v>
    <v>4</v>
    <v>58.37</v>
    <v>46.37</v>
    <v>0.94679999999999997</v>
    <v>0.46879999999999999</v>
    <v>0</v>
    <v>8.4869999999999998E-3</v>
    <v>0</v>
    <v>USD</v>
    <v>NYSE Arca</v>
    <v>ARCX</v>
    <v>3.4999999999999996E-3</v>
    <v>56</v>
    <v>ETF</v>
    <v>45818.000000948436</v>
    <v>385</v>
    <v>55.36</v>
    <v>618639163.64999998</v>
    <v>SPDR S&amp;P N Amer Ntrl Res</v>
    <v>55.36</v>
    <v>55.24</v>
    <v>55.708799999999997</v>
    <v>55.708799999999997</v>
    <v>NANR</v>
    <v>SPDR S&amp;P N Amer Ntrl Res (ARCX:NANR)</v>
    <v>15261</v>
    <v>87954</v>
  </rv>
  <rv s="2">
    <v>386</v>
  </rv>
  <rv s="0">
    <v>https://www.bing.com/financeapi/forcetrigger?t=a24uhw&amp;q=ARCX%3aUGA&amp;form=skydnc</v>
    <v>Learn more on Bing</v>
  </rv>
  <rv s="1">
    <v>en-US</v>
    <v>a24uhw</v>
    <v>268435456</v>
    <v>1</v>
    <v>Powered by Refinitiv</v>
    <v>0</v>
    <v>United States Gas (ARCX:UGA)</v>
    <v>2</v>
    <v>3</v>
    <v>Finance</v>
    <v>4</v>
    <v>70.720100000000002</v>
    <v>52.8</v>
    <v>0.72599999999999998</v>
    <v>0.46210000000000001</v>
    <v>-3.8977999999999999E-2</v>
    <v>7.7000000000000002E-3</v>
    <v>-2.3573</v>
    <v>USD</v>
    <v>NYSE Arca</v>
    <v>ARCX</v>
    <v>1.0200000000000001E-2</v>
    <v>60.56</v>
    <v>ETF</v>
    <v>45818.000000034372</v>
    <v>388</v>
    <v>60.055</v>
    <v>69741402.879999995</v>
    <v>United States Gas</v>
    <v>60.15</v>
    <v>60.0152</v>
    <v>60.4773</v>
    <v>58.12</v>
    <v>UGA</v>
    <v>United States Gas (ARCX:UGA)</v>
    <v>39563</v>
    <v>18064</v>
  </rv>
  <rv s="2">
    <v>389</v>
  </rv>
  <rv s="0">
    <v>https://www.bing.com/financeapi/forcetrigger?t=a1p6dm&amp;q=ARCX%3aCANE&amp;form=skydnc</v>
    <v>Learn more on Bing</v>
  </rv>
  <rv s="1">
    <v>en-US</v>
    <v>a1p6dm</v>
    <v>268435456</v>
    <v>1</v>
    <v>Powered by Refinitiv</v>
    <v>0</v>
    <v>Teucrium:Sugar (ARCX:CANE)</v>
    <v>2</v>
    <v>3</v>
    <v>Finance</v>
    <v>4</v>
    <v>13.73</v>
    <v>10.77</v>
    <v>-0.24429999999999999</v>
    <v>7.0000000000000007E-2</v>
    <v>0</v>
    <v>6.2780000000000006E-3</v>
    <v>0</v>
    <v>USD</v>
    <v>NYSE Arca</v>
    <v>ARCX</v>
    <v>4.4199999999999996E-2</v>
    <v>11.23</v>
    <v>ETF</v>
    <v>45817.840277777781</v>
    <v>391</v>
    <v>11.12</v>
    <v>10748976.75</v>
    <v>Teucrium:Sugar</v>
    <v>11.22</v>
    <v>11.15</v>
    <v>11.22</v>
    <v>11.22</v>
    <v>CANE</v>
    <v>Teucrium:Sugar (ARCX:CANE)</v>
    <v>16593</v>
    <v>26337</v>
  </rv>
  <rv s="2">
    <v>392</v>
  </rv>
  <rv s="0">
    <v>https://www.bing.com/financeapi/forcetrigger?t=a1qrar&amp;q=ARCX%3aDBB&amp;form=skydnc</v>
    <v>Learn more on Bing</v>
  </rv>
  <rv s="1">
    <v>en-US</v>
    <v>a1qrar</v>
    <v>268435456</v>
    <v>1</v>
    <v>Powered by Refinitiv</v>
    <v>0</v>
    <v>Invesco DB MS BMtl (ARCX:DBB)</v>
    <v>2</v>
    <v>3</v>
    <v>Finance</v>
    <v>4</v>
    <v>21.45</v>
    <v>17.125</v>
    <v>0.95799999999999996</v>
    <v>0.105</v>
    <v>-2.4664999999999999E-2</v>
    <v>5.6620000000000004E-3</v>
    <v>-0.46</v>
    <v>USD</v>
    <v>NYSE Arca</v>
    <v>ARCX</v>
    <v>7.4999999999999997E-3</v>
    <v>18.680399999999999</v>
    <v>ETF</v>
    <v>45818.000000034372</v>
    <v>394</v>
    <v>18.62</v>
    <v>105365988.73999999</v>
    <v>Invesco DB MS BMtl</v>
    <v>18.63</v>
    <v>18.545000000000002</v>
    <v>18.649999999999999</v>
    <v>18.190000000000001</v>
    <v>DBB</v>
    <v>Invesco DB MS BMtl (ARCX:DBB)</v>
    <v>23138</v>
    <v>56275</v>
  </rv>
  <rv s="2">
    <v>395</v>
  </rv>
  <rv s="0">
    <v>https://www.bing.com/financeapi/forcetrigger?t=a259p2&amp;q=ARCX%3aVEGI&amp;form=skydnc</v>
    <v>Learn more on Bing</v>
  </rv>
  <rv s="1">
    <v>en-US</v>
    <v>a259p2</v>
    <v>268435456</v>
    <v>1</v>
    <v>Powered by Refinitiv</v>
    <v>0</v>
    <v>iShares:MSCI Agri Prod (ARCX:VEGI)</v>
    <v>2</v>
    <v>3</v>
    <v>Finance</v>
    <v>4</v>
    <v>40.74</v>
    <v>33.130000000000003</v>
    <v>0.8206</v>
    <v>0.21879999999999999</v>
    <v>2.6150000000000001E-3</v>
    <v>5.4159999999999998E-3</v>
    <v>0.1062</v>
    <v>USD</v>
    <v>NYSE Arca</v>
    <v>ARCX</v>
    <v>3.9000000000000003E-3</v>
    <v>40.74</v>
    <v>ETF</v>
    <v>45818.000000659376</v>
    <v>397</v>
    <v>40.369999999999997</v>
    <v>97607473.900000006</v>
    <v>iShares:MSCI Agri Prod</v>
    <v>40.64</v>
    <v>40.4</v>
    <v>40.6188</v>
    <v>40.725000000000001</v>
    <v>VEGI</v>
    <v>iShares:MSCI Agri Prod (ARCX:VEGI)</v>
    <v>16974</v>
    <v>13953</v>
  </rv>
  <rv s="2">
    <v>398</v>
  </rv>
  <rv s="0">
    <v>https://www.bing.com/financeapi/forcetrigger?t=a1twnm&amp;q=ARCX%3aGLD&amp;form=skydnc</v>
    <v>Learn more on Bing</v>
  </rv>
  <rv s="1">
    <v>en-US</v>
    <v>a1twnm</v>
    <v>268435456</v>
    <v>1</v>
    <v>Powered by Refinitiv</v>
    <v>0</v>
    <v>SPDR Gold (ARCX:GLD)</v>
    <v>2</v>
    <v>3</v>
    <v>Finance</v>
    <v>4</v>
    <v>317.63</v>
    <v>212.12039999999999</v>
    <v>0.81589999999999996</v>
    <v>1.44</v>
    <v>-2.609E-4</v>
    <v>4.7190000000000001E-3</v>
    <v>-0.08</v>
    <v>USD</v>
    <v>NYSE Arca</v>
    <v>ARCX</v>
    <v>4.0000000000000001E-3</v>
    <v>307.61</v>
    <v>ETF</v>
    <v>45818.000000022657</v>
    <v>400</v>
    <v>305.06</v>
    <v>82394162386.910004</v>
    <v>SPDR Gold</v>
    <v>305.39</v>
    <v>305.18</v>
    <v>306.62</v>
    <v>306.54000000000002</v>
    <v>GLD</v>
    <v>SPDR Gold (ARCX:GLD)</v>
    <v>7159036</v>
    <v>10424723</v>
  </rv>
  <rv s="2">
    <v>401</v>
  </rv>
  <rv s="0">
    <v>https://www.bing.com/financeapi/forcetrigger?t=a1xurw&amp;q=ARCX%3aMOO&amp;form=skydnc</v>
    <v>Learn more on Bing</v>
  </rv>
  <rv s="1">
    <v>en-US</v>
    <v>a1xurw</v>
    <v>268435456</v>
    <v>1</v>
    <v>Powered by Refinitiv</v>
    <v>0</v>
    <v>VanEck:Agribusiness (ARCX:MOO)</v>
    <v>2</v>
    <v>3</v>
    <v>Finance</v>
    <v>4</v>
    <v>76.19</v>
    <v>59.58</v>
    <v>0.85719999999999996</v>
    <v>0.16</v>
    <v>1.204E-2</v>
    <v>2.1940000000000002E-3</v>
    <v>0.88</v>
    <v>USD</v>
    <v>NYSE Arca</v>
    <v>ARCX</v>
    <v>5.4000000000000003E-3</v>
    <v>73.47</v>
    <v>ETF</v>
    <v>45818.000000034372</v>
    <v>403</v>
    <v>72.930000000000007</v>
    <v>604017923.33000004</v>
    <v>VanEck:Agribusiness</v>
    <v>73.040000000000006</v>
    <v>72.930000000000007</v>
    <v>73.09</v>
    <v>73.97</v>
    <v>MOO</v>
    <v>VanEck:Agribusiness (ARCX:MOO)</v>
    <v>22408</v>
    <v>40327</v>
  </rv>
  <rv s="2">
    <v>404</v>
  </rv>
  <rv s="0">
    <v>https://www.bing.com/financeapi/forcetrigger?t=a1qrgh&amp;q=ARCX%3aDBC&amp;form=skydnc</v>
    <v>Learn more on Bing</v>
  </rv>
  <rv s="1">
    <v>en-US</v>
    <v>a1qrgh</v>
    <v>268435456</v>
    <v>1</v>
    <v>Powered by Refinitiv</v>
    <v>0</v>
    <v>Invesco DB Cm Idx (ARCX:DBC)</v>
    <v>2</v>
    <v>3</v>
    <v>Finance</v>
    <v>4</v>
    <v>23.895</v>
    <v>19.8443</v>
    <v>0.47470000000000001</v>
    <v>0.02</v>
    <v>1.5227999999999998E-2</v>
    <v>9.2380000000000001E-4</v>
    <v>0.33</v>
    <v>USD</v>
    <v>NYSE Arca</v>
    <v>ARCX</v>
    <v>8.3999999999999995E-3</v>
    <v>21.71</v>
    <v>ETF</v>
    <v>45817.879289837503</v>
    <v>406</v>
    <v>21.55</v>
    <v>1132617933.71</v>
    <v>Invesco DB Cm Idx</v>
    <v>21.64</v>
    <v>21.65</v>
    <v>21.67</v>
    <v>22</v>
    <v>DBC</v>
    <v>Invesco DB Cm Idx (ARCX:DBC)</v>
    <v>737860</v>
    <v>729150</v>
  </rv>
  <rv s="2">
    <v>407</v>
  </rv>
  <rv s="0">
    <v>https://www.bing.com/financeapi/forcetrigger?t=a1qr27&amp;q=ARCX%3aDBA&amp;form=skydnc</v>
    <v>Learn more on Bing</v>
  </rv>
  <rv s="1">
    <v>en-US</v>
    <v>a1qr27</v>
    <v>268435456</v>
    <v>1</v>
    <v>Powered by Refinitiv</v>
    <v>0</v>
    <v>Invesco DB MS Agri (ARCX:DBA)</v>
    <v>2</v>
    <v>3</v>
    <v>Finance</v>
    <v>4</v>
    <v>28.484999999999999</v>
    <v>22.79</v>
    <v>0.67079999999999995</v>
    <v>-0.09</v>
    <v>2.9210000000000004E-3</v>
    <v>-3.2750000000000001E-3</v>
    <v>0.08</v>
    <v>USD</v>
    <v>NYSE Arca</v>
    <v>ARCX</v>
    <v>8.8000000000000005E-3</v>
    <v>27.454999999999998</v>
    <v>ETF</v>
    <v>45817.974750647656</v>
    <v>409</v>
    <v>27.34</v>
    <v>835156717.16999996</v>
    <v>Invesco DB MS Agri</v>
    <v>27.44</v>
    <v>27.48</v>
    <v>27.39</v>
    <v>27.47</v>
    <v>DBA</v>
    <v>Invesco DB MS Agri (ARCX:DBA)</v>
    <v>469089</v>
    <v>259111</v>
  </rv>
  <rv s="2">
    <v>410</v>
  </rv>
  <rv s="0">
    <v>https://www.bing.com/financeapi/forcetrigger?t=a23c1h&amp;q=ARCX%3aSOYB&amp;form=skydnc</v>
    <v>Learn more on Bing</v>
  </rv>
  <rv s="1">
    <v>en-US</v>
    <v>a23c1h</v>
    <v>268435456</v>
    <v>1</v>
    <v>Powered by Refinitiv</v>
    <v>0</v>
    <v>Teucrium:Soybean (ARCX:SOYB)</v>
    <v>2</v>
    <v>3</v>
    <v>Finance</v>
    <v>4</v>
    <v>24.759899999999998</v>
    <v>20.2</v>
    <v>0.88829999999999998</v>
    <v>-0.16</v>
    <v>-4.5809999999999997E-4</v>
    <v>-7.2760000000000003E-3</v>
    <v>-0.01</v>
    <v>USD</v>
    <v>NYSE Arca</v>
    <v>ARCX</v>
    <v>3.56E-2</v>
    <v>21.96</v>
    <v>ETF</v>
    <v>45818.000000034372</v>
    <v>412</v>
    <v>21.79</v>
    <v>25438435.199999999</v>
    <v>Teucrium:Soybean</v>
    <v>21.94</v>
    <v>21.99</v>
    <v>21.83</v>
    <v>21.82</v>
    <v>SOYB</v>
    <v>Teucrium:Soybean (ARCX:SOYB)</v>
    <v>13796</v>
    <v>23365</v>
  </rv>
  <rv s="2">
    <v>413</v>
  </rv>
  <rv s="0">
    <v>https://www.bing.com/financeapi/forcetrigger?t=a25sbh&amp;q=ARCX%3aWEAT&amp;form=skydnc</v>
    <v>Learn more on Bing</v>
  </rv>
  <rv s="1">
    <v>en-US</v>
    <v>a25sbh</v>
    <v>268435456</v>
    <v>1</v>
    <v>Powered by Refinitiv</v>
    <v>0</v>
    <v>Teucrium:Wheat (ARCX:WEAT)</v>
    <v>2</v>
    <v>3</v>
    <v>Finance</v>
    <v>4</v>
    <v>5.94</v>
    <v>4.33</v>
    <v>1.1868000000000001</v>
    <v>-7.0000000000000007E-2</v>
    <v>4.3379999999999998E-3</v>
    <v>-1.4957E-2</v>
    <v>0.02</v>
    <v>USD</v>
    <v>NYSE Arca</v>
    <v>ARCX</v>
    <v>3.2000000000000001E-2</v>
    <v>4.63</v>
    <v>ETF</v>
    <v>45818.000000034372</v>
    <v>415</v>
    <v>4.58</v>
    <v>119582707.84999999</v>
    <v>Teucrium:Wheat</v>
    <v>4.63</v>
    <v>4.68</v>
    <v>4.6100000000000003</v>
    <v>4.63</v>
    <v>WEAT</v>
    <v>Teucrium:Wheat (ARCX:WEAT)</v>
    <v>606563</v>
    <v>741060</v>
  </rv>
  <rv s="2">
    <v>416</v>
  </rv>
  <rv s="0">
    <v>https://www.bing.com/financeapi/forcetrigger?t=a1q62w&amp;q=ARCX%3aCORN&amp;form=skydnc</v>
    <v>Learn more on Bing</v>
  </rv>
  <rv s="1">
    <v>en-US</v>
    <v>a1q62w</v>
    <v>268435456</v>
    <v>1</v>
    <v>Powered by Refinitiv</v>
    <v>0</v>
    <v>Teucrium:Corn (ARCX:CORN)</v>
    <v>2</v>
    <v>3</v>
    <v>Finance</v>
    <v>4</v>
    <v>20.69</v>
    <v>17.021000000000001</v>
    <v>0.84</v>
    <v>-0.36</v>
    <v>-2.212E-3</v>
    <v>-1.9334E-2</v>
    <v>-4.0399999999999998E-2</v>
    <v>USD</v>
    <v>NYSE Arca</v>
    <v>ARCX</v>
    <v>3.27E-2</v>
    <v>18.53</v>
    <v>ETF</v>
    <v>45818.000000046093</v>
    <v>418</v>
    <v>18.190000000000001</v>
    <v>48890412.310000002</v>
    <v>Teucrium:Corn</v>
    <v>18.46</v>
    <v>18.62</v>
    <v>18.260000000000002</v>
    <v>18.2196</v>
    <v>CORN</v>
    <v>Teucrium:Corn (ARCX:CORN)</v>
    <v>81583</v>
    <v>66503</v>
  </rv>
  <rv s="2">
    <v>419</v>
  </rv>
  <rv s="0">
    <v>https://www.bing.com/financeapi/forcetrigger?t=a24xim&amp;q=ARCX%3aUNG&amp;form=skydnc</v>
    <v>Learn more on Bing</v>
  </rv>
  <rv s="1">
    <v>en-US</v>
    <v>a24xim</v>
    <v>268435456</v>
    <v>1</v>
    <v>Powered by Refinitiv</v>
    <v>0</v>
    <v>United States Nat Gas (ARCX:UNG)</v>
    <v>2</v>
    <v>3</v>
    <v>Finance</v>
    <v>4</v>
    <v>24.33</v>
    <v>12.35</v>
    <v>3.3372000000000002</v>
    <v>-0.62</v>
    <v>-7.8620000000000009E-3</v>
    <v>-3.6088000000000002E-2</v>
    <v>-0.13020000000000001</v>
    <v>USD</v>
    <v>NYSE Arca</v>
    <v>ARCX</v>
    <v>1.24E-2</v>
    <v>16.77</v>
    <v>ETF</v>
    <v>45818.000000659376</v>
    <v>421</v>
    <v>16.27</v>
    <v>342114331.74000001</v>
    <v>United States Nat Gas</v>
    <v>16.440000000000001</v>
    <v>17.18</v>
    <v>16.559999999999999</v>
    <v>16.4298</v>
    <v>UNG</v>
    <v>United States Nat Gas (ARCX:UNG)</v>
    <v>7169127</v>
    <v>6500196</v>
  </rv>
  <rv s="2">
    <v>422</v>
  </rv>
  <rv s="0">
    <v>https://www.bing.com/financeapi/forcetrigger?t=a1sh27&amp;q=ARCX%3aEWY&amp;form=skydnc</v>
    <v>Learn more on Bing</v>
  </rv>
  <rv s="1">
    <v>en-US</v>
    <v>a1sh27</v>
    <v>268435456</v>
    <v>1</v>
    <v>Powered by Refinitiv</v>
    <v>0</v>
    <v>iShares:MSCI S Korea (ARCX:EWY)</v>
    <v>2</v>
    <v>3</v>
    <v>Finance</v>
    <v>4</v>
    <v>69.515000000000001</v>
    <v>48.49</v>
    <v>1.5055000000000001</v>
    <v>0.91</v>
    <v>7.8220000000000008E-3</v>
    <v>1.3878E-2</v>
    <v>0.52</v>
    <v>USD</v>
    <v>NYSE Arca</v>
    <v>ARCX</v>
    <v>5.8999999999999999E-3</v>
    <v>66.680000000000007</v>
    <v>ETF</v>
    <v>45818.000000022657</v>
    <v>424</v>
    <v>66.16</v>
    <v>3223414265.9200001</v>
    <v>iShares:MSCI S Korea</v>
    <v>66.17</v>
    <v>65.569999999999993</v>
    <v>66.48</v>
    <v>67</v>
    <v>EWY</v>
    <v>iShares:MSCI S Korea (ARCX:EWY)</v>
    <v>5771765</v>
    <v>3680709</v>
  </rv>
  <rv s="2">
    <v>425</v>
  </rv>
  <rv s="0">
    <v>https://www.bing.com/financeapi/forcetrigger?t=a1sgk2&amp;q=ARCX%3aEWT&amp;form=skydnc</v>
    <v>Learn more on Bing</v>
  </rv>
  <rv s="1">
    <v>en-US</v>
    <v>a1sgk2</v>
    <v>268435456</v>
    <v>1</v>
    <v>Powered by Refinitiv</v>
    <v>0</v>
    <v>iShares:MSCI Taiwan (ARCX:EWT)</v>
    <v>2</v>
    <v>3</v>
    <v>Finance</v>
    <v>4</v>
    <v>57.69</v>
    <v>39.44</v>
    <v>1.1891</v>
    <v>0.6</v>
    <v>3.29E-3</v>
    <v>1.1089E-2</v>
    <v>0.18</v>
    <v>USD</v>
    <v>NYSE Arca</v>
    <v>ARCX</v>
    <v>5.8999999999999999E-3</v>
    <v>54.81</v>
    <v>ETF</v>
    <v>45818.000000022657</v>
    <v>427</v>
    <v>54.24</v>
    <v>5280892630.1199999</v>
    <v>iShares:MSCI Taiwan</v>
    <v>54.33</v>
    <v>54.11</v>
    <v>54.71</v>
    <v>54.89</v>
    <v>EWT</v>
    <v>iShares:MSCI Taiwan (ARCX:EWT)</v>
    <v>10128234</v>
    <v>3624427</v>
  </rv>
  <rv s="2">
    <v>428</v>
  </rv>
  <rv s="0">
    <v>https://www.bing.com/financeapi/forcetrigger?t=a1sff2&amp;q=ARCX%3aEWH&amp;form=skydnc</v>
    <v>Learn more on Bing</v>
  </rv>
  <rv s="1">
    <v>en-US</v>
    <v>a1sff2</v>
    <v>268435456</v>
    <v>1</v>
    <v>Powered by Refinitiv</v>
    <v>0</v>
    <v>iShares:MSCI Hong Kong (ARCX:EWH)</v>
    <v>2</v>
    <v>3</v>
    <v>Finance</v>
    <v>4</v>
    <v>20.364999999999998</v>
    <v>14.88</v>
    <v>0.85950000000000004</v>
    <v>0.19</v>
    <v>2.5330000000000001E-3</v>
    <v>9.7190000000000002E-3</v>
    <v>0.05</v>
    <v>USD</v>
    <v>NYSE Arca</v>
    <v>ARCX</v>
    <v>5.0000000000000001E-3</v>
    <v>19.77</v>
    <v>ETF</v>
    <v>45817.90736053203</v>
    <v>430</v>
    <v>19.64</v>
    <v>613843515.64999998</v>
    <v>iShares:MSCI Hong Kong</v>
    <v>19.655000000000001</v>
    <v>19.55</v>
    <v>19.739999999999998</v>
    <v>19.79</v>
    <v>EWH</v>
    <v>iShares:MSCI Hong Kong (ARCX:EWH)</v>
    <v>2767270</v>
    <v>2899786</v>
  </rv>
  <rv s="2">
    <v>431</v>
  </rv>
  <rv s="0">
    <v>https://www.bing.com/financeapi/forcetrigger?t=a1rour&amp;q=ARCX%3aEEM&amp;form=skydnc</v>
    <v>Learn more on Bing</v>
  </rv>
  <rv s="1">
    <v>en-US</v>
    <v>a1rour</v>
    <v>268435456</v>
    <v>1</v>
    <v>Powered by Refinitiv</v>
    <v>0</v>
    <v>iShares:MSCI Em Mkts (ARCX:EEM)</v>
    <v>2</v>
    <v>3</v>
    <v>Finance</v>
    <v>4</v>
    <v>47.44</v>
    <v>38.19</v>
    <v>0.99539999999999995</v>
    <v>0.4</v>
    <v>1.7963E-2</v>
    <v>8.5249999999999996E-3</v>
    <v>0.85</v>
    <v>USD</v>
    <v>NYSE Arca</v>
    <v>ARCX</v>
    <v>7.1999999999999998E-3</v>
    <v>47.39</v>
    <v>ETF</v>
    <v>45818.000000022657</v>
    <v>433</v>
    <v>47.11</v>
    <v>17162833408.700001</v>
    <v>iShares:MSCI Em Mkts</v>
    <v>47.17</v>
    <v>46.92</v>
    <v>47.32</v>
    <v>48.17</v>
    <v>EEM</v>
    <v>iShares:MSCI Em Mkts (ARCX:EEM)</v>
    <v>22715154</v>
    <v>23265230</v>
  </rv>
  <rv s="2">
    <v>434</v>
  </rv>
  <rv s="0">
    <v>https://www.bing.com/financeapi/forcetrigger?t=a1sfz2&amp;q=ARCX%3aEWN&amp;form=skydnc</v>
    <v>Learn more on Bing</v>
  </rv>
  <rv s="1">
    <v>en-US</v>
    <v>a1sfz2</v>
    <v>268435456</v>
    <v>1</v>
    <v>Powered by Refinitiv</v>
    <v>0</v>
    <v>iShares:MSCI Netherlands (ARCX:EWN)</v>
    <v>2</v>
    <v>3</v>
    <v>Finance</v>
    <v>4</v>
    <v>54.265000000000001</v>
    <v>41.4</v>
    <v>1.0804</v>
    <v>0.39</v>
    <v>0</v>
    <v>7.2719999999999998E-3</v>
    <v>0</v>
    <v>USD</v>
    <v>NYSE Arca</v>
    <v>ARCX</v>
    <v>5.0000000000000001E-3</v>
    <v>54.265000000000001</v>
    <v>ETF</v>
    <v>45817.840277777781</v>
    <v>436</v>
    <v>53.76</v>
    <v>267014720.58000001</v>
    <v>iShares:MSCI Netherlands</v>
    <v>53.78</v>
    <v>53.63</v>
    <v>54.02</v>
    <v>54.02</v>
    <v>EWN</v>
    <v>iShares:MSCI Netherlands (ARCX:EWN)</v>
    <v>15003</v>
    <v>44782</v>
  </rv>
  <rv s="2">
    <v>437</v>
  </rv>
  <rv s="0">
    <v>https://www.bing.com/financeapi/forcetrigger?t=a1vjec&amp;q=BATS%3aINDA&amp;form=skydnc</v>
    <v>Learn more on Bing</v>
  </rv>
  <rv s="1">
    <v>en-US</v>
    <v>a1vjec</v>
    <v>268435456</v>
    <v>1</v>
    <v>Powered by Refinitiv</v>
    <v>0</v>
    <v>iShares:MSCI India (BATS:INDA)</v>
    <v>2</v>
    <v>3</v>
    <v>Finance</v>
    <v>12</v>
    <v>59.49</v>
    <v>47.594999999999999</v>
    <v>0.83309999999999995</v>
    <v>0.34</v>
    <v>2.8670000000000002E-3</v>
    <v>6.1919999999999996E-3</v>
    <v>0.15840000000000001</v>
    <v>USD</v>
    <v>CBOE BZX Exchange</v>
    <v>BATS</v>
    <v>6.1999999999999998E-3</v>
    <v>55.32</v>
    <v>ETF</v>
    <v>45817.999996689061</v>
    <v>439</v>
    <v>55.05</v>
    <v>9219096561.6700001</v>
    <v>iShares:MSCI India</v>
    <v>55.1</v>
    <v>54.91</v>
    <v>55.25</v>
    <v>55.398400000000002</v>
    <v>INDA</v>
    <v>iShares:MSCI India (BATS:INDA)</v>
    <v>9425155</v>
    <v>7223958</v>
  </rv>
  <rv s="2">
    <v>440</v>
  </rv>
  <rv s="0">
    <v>https://www.bing.com/financeapi/forcetrigger?t=a1seu2&amp;q=ARCX%3aEWA&amp;form=skydnc</v>
    <v>Learn more on Bing</v>
  </rv>
  <rv s="1">
    <v>en-US</v>
    <v>a1seu2</v>
    <v>268435456</v>
    <v>1</v>
    <v>Powered by Refinitiv</v>
    <v>0</v>
    <v>iShares:MSCI Australia (ARCX:EWA)</v>
    <v>2</v>
    <v>3</v>
    <v>Finance</v>
    <v>4</v>
    <v>27.23</v>
    <v>20.504999999999999</v>
    <v>1.2052</v>
    <v>7.0000000000000007E-2</v>
    <v>4.1599999999999996E-3</v>
    <v>2.6550000000000002E-3</v>
    <v>0.11</v>
    <v>USD</v>
    <v>NYSE Arca</v>
    <v>ARCX</v>
    <v>5.0000000000000001E-3</v>
    <v>26.58</v>
    <v>ETF</v>
    <v>45818.000000914064</v>
    <v>442</v>
    <v>26.39</v>
    <v>1532362737.45</v>
    <v>iShares:MSCI Australia</v>
    <v>26.42</v>
    <v>26.37</v>
    <v>26.44</v>
    <v>26.55</v>
    <v>EWA</v>
    <v>iShares:MSCI Australia (ARCX:EWA)</v>
    <v>1411496</v>
    <v>1317784</v>
  </rv>
  <rv s="2">
    <v>443</v>
  </rv>
  <rv s="0">
    <v>https://www.bing.com/financeapi/forcetrigger?t=a25acw&amp;q=ARCX%3aVEU&amp;form=skydnc</v>
    <v>Learn more on Bing</v>
  </rv>
  <rv s="1">
    <v>en-US</v>
    <v>a25acw</v>
    <v>268435456</v>
    <v>1</v>
    <v>Powered by Refinitiv</v>
    <v>0</v>
    <v>Vanguard FTSE xUS;ETF (ARCX:VEU)</v>
    <v>2</v>
    <v>3</v>
    <v>Finance</v>
    <v>4</v>
    <v>66.614999999999995</v>
    <v>53.65</v>
    <v>0.96350000000000002</v>
    <v>0.16</v>
    <v>-1.3550000000000001E-3</v>
    <v>2.4139999999999999E-3</v>
    <v>-0.09</v>
    <v>USD</v>
    <v>NYSE Arca</v>
    <v>ARCX</v>
    <v>4.0000000000000002E-4</v>
    <v>66.614999999999995</v>
    <v>ETF</v>
    <v>45817.961745914065</v>
    <v>445</v>
    <v>66.27</v>
    <v>42005994968</v>
    <v>Vanguard FTSE xUS;ETF</v>
    <v>66.33</v>
    <v>66.28</v>
    <v>66.44</v>
    <v>66.349999999999994</v>
    <v>VEU</v>
    <v>Vanguard FTSE xUS;ETF (ARCX:VEU)</v>
    <v>1519487</v>
    <v>2292589</v>
  </rv>
  <rv s="2">
    <v>446</v>
  </rv>
  <rv s="0">
    <v>https://www.bing.com/financeapi/forcetrigger?t=a24qhw&amp;q=XNAS%3aUAE&amp;form=skydnc</v>
    <v>Learn more on Bing</v>
  </rv>
  <rv s="1">
    <v>en-US</v>
    <v>a24qhw</v>
    <v>268435456</v>
    <v>1</v>
    <v>Powered by Refinitiv</v>
    <v>0</v>
    <v>iShares:MSCI UAE (XNAS:UAE)</v>
    <v>2</v>
    <v>3</v>
    <v>Finance</v>
    <v>4</v>
    <v>18.760000000000002</v>
    <v>13.244999999999999</v>
    <v>0.434</v>
    <v>0.04</v>
    <v>-7.4830000000000001E-3</v>
    <v>2.1419999999999998E-3</v>
    <v>-0.14000000000000001</v>
    <v>USD</v>
    <v>Nasdaq Stock Market</v>
    <v>XNAS</v>
    <v>6.0000000000000001E-3</v>
    <v>18.760000000000002</v>
    <v>ETF</v>
    <v>45817.929589652347</v>
    <v>448</v>
    <v>18.68</v>
    <v>134898534.38</v>
    <v>iShares:MSCI UAE</v>
    <v>18.739999999999998</v>
    <v>18.670000000000002</v>
    <v>18.71</v>
    <v>18.57</v>
    <v>UAE</v>
    <v>iShares:MSCI UAE (XNAS:UAE)</v>
    <v>38900</v>
    <v>213731</v>
  </rv>
  <rv s="2">
    <v>449</v>
  </rv>
  <rv s="0">
    <v>https://www.bing.com/financeapi/forcetrigger?t=a24mz2&amp;q=XNAS%3aTUR&amp;form=skydnc</v>
    <v>Learn more on Bing</v>
  </rv>
  <rv s="1">
    <v>en-US</v>
    <v>a24mz2</v>
    <v>268435456</v>
    <v>1</v>
    <v>Powered by Refinitiv</v>
    <v>0</v>
    <v>iShares:MSCI Turkey (XNAS:TUR)</v>
    <v>2</v>
    <v>3</v>
    <v>Finance</v>
    <v>4</v>
    <v>44.12</v>
    <v>29.86</v>
    <v>0.37919999999999998</v>
    <v>0.05</v>
    <v>3.1589999999999998E-4</v>
    <v>1.5820000000000001E-3</v>
    <v>0.01</v>
    <v>USD</v>
    <v>Nasdaq Stock Market</v>
    <v>XNAS</v>
    <v>5.8999999999999999E-3</v>
    <v>31.73</v>
    <v>ETF</v>
    <v>45817.897914930472</v>
    <v>451</v>
    <v>31.63</v>
    <v>132105773.8</v>
    <v>iShares:MSCI Turkey</v>
    <v>31.64</v>
    <v>31.61</v>
    <v>31.66</v>
    <v>31.67</v>
    <v>TUR</v>
    <v>iShares:MSCI Turkey (XNAS:TUR)</v>
    <v>57475</v>
    <v>126470</v>
  </rv>
  <rv s="2">
    <v>452</v>
  </rv>
  <rv s="0">
    <v>https://www.bing.com/financeapi/forcetrigger?t=a1wnz2&amp;q=ARCX%3aKSA&amp;form=skydnc</v>
    <v>Learn more on Bing</v>
  </rv>
  <rv s="1">
    <v>en-US</v>
    <v>a1wnz2</v>
    <v>268435456</v>
    <v>1</v>
    <v>Powered by Refinitiv</v>
    <v>0</v>
    <v>iShares:MSCI S Arabia (ARCX:KSA)</v>
    <v>2</v>
    <v>3</v>
    <v>Finance</v>
    <v>4</v>
    <v>43.419800000000002</v>
    <v>37.89</v>
    <v>0.53369999999999995</v>
    <v>0.06</v>
    <v>0</v>
    <v>1.5579999999999999E-3</v>
    <v>0</v>
    <v>USD</v>
    <v>NYSE Arca</v>
    <v>ARCX</v>
    <v>7.4999999999999997E-3</v>
    <v>38.704999999999998</v>
    <v>ETF</v>
    <v>45818.000000034372</v>
    <v>454</v>
    <v>38.479999999999997</v>
    <v>686482550.40999997</v>
    <v>iShares:MSCI S Arabia</v>
    <v>38.549999999999997</v>
    <v>38.51</v>
    <v>38.57</v>
    <v>38.57</v>
    <v>KSA</v>
    <v>iShares:MSCI S Arabia (ARCX:KSA)</v>
    <v>884746</v>
    <v>597702</v>
  </rv>
  <rv s="2">
    <v>455</v>
  </rv>
  <rv s="0">
    <v>https://www.bing.com/financeapi/forcetrigger?t=a1sg8m&amp;q=ARCX%3aEWQ&amp;form=skydnc</v>
    <v>Learn more on Bing</v>
  </rv>
  <rv s="1">
    <v>en-US</v>
    <v>a1sg8m</v>
    <v>268435456</v>
    <v>1</v>
    <v>Powered by Refinitiv</v>
    <v>0</v>
    <v>iShares:MSCI France (ARCX:EWQ)</v>
    <v>2</v>
    <v>3</v>
    <v>Finance</v>
    <v>4</v>
    <v>43.37</v>
    <v>35.22</v>
    <v>1.1205000000000001</v>
    <v>0.04</v>
    <v>-2.5530000000000001E-3</v>
    <v>9.2939999999999993E-4</v>
    <v>-0.11</v>
    <v>USD</v>
    <v>NYSE Arca</v>
    <v>ARCX</v>
    <v>5.0000000000000001E-3</v>
    <v>43.2</v>
    <v>ETF</v>
    <v>45818.000000022657</v>
    <v>457</v>
    <v>42.98</v>
    <v>399573757.25</v>
    <v>iShares:MSCI France</v>
    <v>42.99</v>
    <v>43.04</v>
    <v>43.08</v>
    <v>42.97</v>
    <v>EWQ</v>
    <v>iShares:MSCI France (ARCX:EWQ)</v>
    <v>204129</v>
    <v>314753</v>
  </rv>
  <rv s="2">
    <v>458</v>
  </rv>
  <rv s="0">
    <v>https://www.bing.com/financeapi/forcetrigger?t=a1ss8m&amp;q=ARCX%3aSPEU&amp;form=skydnc</v>
    <v>Learn more on Bing</v>
  </rv>
  <rv s="1">
    <v>en-US</v>
    <v>a1ss8m</v>
    <v>268435456</v>
    <v>1</v>
    <v>Powered by Refinitiv</v>
    <v>0</v>
    <v>SPDR Ptf Europe (ARCX:SPEU)</v>
    <v>2</v>
    <v>3</v>
    <v>Finance</v>
    <v>4</v>
    <v>48.784999999999997</v>
    <v>38.99</v>
    <v>1.0206999999999999</v>
    <v>0</v>
    <v>1.2747E-2</v>
    <v>0</v>
    <v>0.62</v>
    <v>USD</v>
    <v>NYSE Arca</v>
    <v>ARCX</v>
    <v>7.000000000000001E-4</v>
    <v>48.78</v>
    <v>ETF</v>
    <v>45818.000000022657</v>
    <v>460</v>
    <v>48.5</v>
    <v>826158116.83000004</v>
    <v>SPDR Ptf Europe</v>
    <v>48.69</v>
    <v>48.64</v>
    <v>48.64</v>
    <v>49.26</v>
    <v>SPEU</v>
    <v>SPDR Ptf Europe (ARCX:SPEU)</v>
    <v>355213</v>
    <v>537843</v>
  </rv>
  <rv s="2">
    <v>461</v>
  </rv>
  <rv s="0">
    <v>https://www.bing.com/financeapi/forcetrigger?t=a1sgmw&amp;q=ARCX%3aEWU&amp;form=skydnc</v>
    <v>Learn more on Bing</v>
  </rv>
  <rv s="1">
    <v>en-US</v>
    <v>a1sgmw</v>
    <v>268435456</v>
    <v>1</v>
    <v>Powered by Refinitiv</v>
    <v>0</v>
    <v>iShares:MSCI UK (ARCX:EWU)</v>
    <v>2</v>
    <v>3</v>
    <v>Finance</v>
    <v>4</v>
    <v>40.465000000000003</v>
    <v>32.76</v>
    <v>0.88139999999999996</v>
    <v>-0.01</v>
    <v>5.4539999999999996E-3</v>
    <v>-2.4780000000000001E-4</v>
    <v>0.22</v>
    <v>USD</v>
    <v>NYSE Arca</v>
    <v>ARCX</v>
    <v>5.0000000000000001E-3</v>
    <v>40.465000000000003</v>
    <v>ETF</v>
    <v>45818.000000022657</v>
    <v>463</v>
    <v>40.21</v>
    <v>3064514364.3899999</v>
    <v>iShares:MSCI UK</v>
    <v>40.22</v>
    <v>40.35</v>
    <v>40.340000000000003</v>
    <v>40.56</v>
    <v>EWU</v>
    <v>iShares:MSCI UK (ARCX:EWU)</v>
    <v>615216</v>
    <v>1438061</v>
  </rv>
  <rv s="2">
    <v>464</v>
  </rv>
  <rv s="0">
    <v>https://www.bing.com/financeapi/forcetrigger?t=a1sfqh&amp;q=ARCX%3aEWL&amp;form=skydnc</v>
    <v>Learn more on Bing</v>
  </rv>
  <rv s="1">
    <v>en-US</v>
    <v>a1sfqh</v>
    <v>268435456</v>
    <v>1</v>
    <v>Powered by Refinitiv</v>
    <v>0</v>
    <v>iShares:MSCI Switzerland (ARCX:EWL)</v>
    <v>2</v>
    <v>3</v>
    <v>Finance</v>
    <v>4</v>
    <v>55.8</v>
    <v>45.56</v>
    <v>0.93640000000000001</v>
    <v>-0.02</v>
    <v>0</v>
    <v>-3.5950000000000001E-4</v>
    <v>0</v>
    <v>USD</v>
    <v>NYSE Arca</v>
    <v>ARCX</v>
    <v>5.0000000000000001E-3</v>
    <v>55.8</v>
    <v>ETF</v>
    <v>45817.970841828123</v>
    <v>466</v>
    <v>55.48</v>
    <v>1296722116.8699999</v>
    <v>iShares:MSCI Switzerland</v>
    <v>55.64</v>
    <v>55.64</v>
    <v>55.62</v>
    <v>55.62</v>
    <v>EWL</v>
    <v>iShares:MSCI Switzerland (ARCX:EWL)</v>
    <v>524548</v>
    <v>464903</v>
  </rv>
  <rv s="2">
    <v>467</v>
  </rv>
  <rv s="0">
    <v>https://www.bing.com/financeapi/forcetrigger?t=a1sfhw&amp;q=ARCX%3aEWI&amp;form=skydnc</v>
    <v>Learn more on Bing</v>
  </rv>
  <rv s="1">
    <v>en-US</v>
    <v>a1sfhw</v>
    <v>268435456</v>
    <v>1</v>
    <v>Powered by Refinitiv</v>
    <v>0</v>
    <v>iShares:MSCI Italy (ARCX:EWI)</v>
    <v>2</v>
    <v>3</v>
    <v>Finance</v>
    <v>4</v>
    <v>48.37</v>
    <v>34.58</v>
    <v>1.1573</v>
    <v>-0.12</v>
    <v>-3.1130000000000003E-3</v>
    <v>-2.4840000000000001E-3</v>
    <v>-0.15</v>
    <v>USD</v>
    <v>NYSE Arca</v>
    <v>ARCX</v>
    <v>5.0000000000000001E-3</v>
    <v>48.314999999999998</v>
    <v>ETF</v>
    <v>45818.000000022657</v>
    <v>469</v>
    <v>48.08</v>
    <v>483657183.27999997</v>
    <v>iShares:MSCI Italy</v>
    <v>48.12</v>
    <v>48.3</v>
    <v>48.18</v>
    <v>48.03</v>
    <v>EWI</v>
    <v>iShares:MSCI Italy (ARCX:EWI)</v>
    <v>141852</v>
    <v>388787</v>
  </rv>
  <rv s="2">
    <v>470</v>
  </rv>
  <rv s="0">
    <v>https://www.bing.com/financeapi/forcetrigger?t=a1rtzr&amp;q=ARCX%3aEIS&amp;form=skydnc</v>
    <v>Learn more on Bing</v>
  </rv>
  <rv s="1">
    <v>en-US</v>
    <v>a1rtzr</v>
    <v>268435456</v>
    <v>1</v>
    <v>Powered by Refinitiv</v>
    <v>0</v>
    <v>iShares:MSCI Israel (ARCX:EIS)</v>
    <v>2</v>
    <v>3</v>
    <v>Finance</v>
    <v>4</v>
    <v>86.755499999999998</v>
    <v>57.2</v>
    <v>1.1874</v>
    <v>-0.22950000000000001</v>
    <v>-1.5319000000000001E-2</v>
    <v>-2.6550000000000002E-3</v>
    <v>-1.3205</v>
    <v>USD</v>
    <v>NYSE Arca</v>
    <v>ARCX</v>
    <v>5.8999999999999999E-3</v>
    <v>86.755499999999998</v>
    <v>ETF</v>
    <v>45817.840277777781</v>
    <v>472</v>
    <v>85.98</v>
    <v>271795877.57999998</v>
    <v>iShares:MSCI Israel</v>
    <v>86.74</v>
    <v>86.43</v>
    <v>86.200500000000005</v>
    <v>84.88</v>
    <v>EIS</v>
    <v>iShares:MSCI Israel (ARCX:EIS)</v>
    <v>13127</v>
    <v>21882</v>
  </rv>
  <rv s="2">
    <v>473</v>
  </rv>
  <rv s="0">
    <v>https://www.bing.com/financeapi/forcetrigger?t=a1sg5r&amp;q=ARCX%3aEWP&amp;form=skydnc</v>
    <v>Learn more on Bing</v>
  </rv>
  <rv s="1">
    <v>en-US</v>
    <v>a1sg5r</v>
    <v>268435456</v>
    <v>1</v>
    <v>Powered by Refinitiv</v>
    <v>0</v>
    <v>iShares:MSCI Spain (ARCX:EWP)</v>
    <v>2</v>
    <v>3</v>
    <v>Finance</v>
    <v>4</v>
    <v>43.89</v>
    <v>30.33</v>
    <v>1.0861000000000001</v>
    <v>-0.14000000000000001</v>
    <v>5.7469999999999995E-3</v>
    <v>-3.2079999999999999E-3</v>
    <v>0.25</v>
    <v>USD</v>
    <v>NYSE Arca</v>
    <v>ARCX</v>
    <v>5.0000000000000001E-3</v>
    <v>43.72</v>
    <v>ETF</v>
    <v>45817.982616145309</v>
    <v>475</v>
    <v>43.5</v>
    <v>1281581502.9100001</v>
    <v>iShares:MSCI Spain</v>
    <v>43.52</v>
    <v>43.64</v>
    <v>43.5</v>
    <v>43.75</v>
    <v>EWP</v>
    <v>iShares:MSCI Spain (ARCX:EWP)</v>
    <v>188131</v>
    <v>526799</v>
  </rv>
  <rv s="2">
    <v>476</v>
  </rv>
  <rv s="0">
    <v>https://www.bing.com/financeapi/forcetrigger?t=aay98m&amp;q=XTSE%3aFM&amp;form=skydnc</v>
    <v>Learn more on Bing</v>
  </rv>
  <rv s="5">
    <v>en-US</v>
    <v>aay98m</v>
    <v>268435456</v>
    <v>1</v>
    <v>Powered by Refinitiv</v>
    <v>13</v>
    <v>First Quantum Minerals Ltd. (XTSE:FM)</v>
    <v>14</v>
    <v>22</v>
    <v>Finance</v>
    <v>23</v>
    <v>23.28</v>
    <v>13.81</v>
    <v>1.7353000000000001</v>
    <v>-7.0000000000000007E-2</v>
    <v>0</v>
    <v>-3.2440000000000004E-3</v>
    <v>0</v>
    <v>CAD</v>
    <v>First Quantum Minerals Ltd. is a Canada-based global copper company. The Company produces copper in the form of concentrate, cathode and anode and has inventories of nickel, gold and cobalt. It is engaged in the production of copper, nickel, gold and silver, and related activities including exploration and development. The Company's operating mines include Cobre Panama, Kansanshi, Sentinel, Cobre Las Cruces, Cayeli, Guelb Moghrein, Ravensthorpe and Pyhasalmi. Its development projects include Enterprise, Haquira, Taca Taca and La Granja. Its operating segments include Cobre Panama, Kansanshi, Trident and Ravensthorpe. The Cobre Panama project comprises a series of copper porphyry deposits with main deposits, such as Balboa, Botija, Colina and Valle Grande. The Trident segment includes the Sentinel copper mine and the Enterprise Nickel development project. Its Ravensthorpe Nickel Operation is an open pit mine and primary processing plant located in the southwest of Western Australia.</v>
    <v>16190</v>
    <v>Toronto Stock Exchange</v>
    <v>XTSE</v>
    <v>XTSE</v>
    <v>1133 Melville Street, Suite 3500, The Stack, VANCOUVER, BC, V6E 4E5 CA</v>
    <v>21.95</v>
    <v>Metals &amp; Mining</v>
    <v>Stock</v>
    <v>45817.844305555554</v>
    <v>478</v>
    <v>21.41</v>
    <v>18021910000</v>
    <v>First Quantum Minerals Ltd.</v>
    <v>First Quantum Minerals Ltd.</v>
    <v>21.68</v>
    <v>90.397099999999995</v>
    <v>21.58</v>
    <v>21.51</v>
    <v>21.51</v>
    <v>834206100</v>
    <v>FM</v>
    <v>First Quantum Minerals Ltd. (XTSE:FM)</v>
    <v>1774390</v>
    <v>2002800</v>
    <v>2014</v>
  </rv>
  <rv s="2">
    <v>479</v>
  </rv>
  <rv s="0">
    <v>https://www.bing.com/financeapi/forcetrigger?t=a1sh52&amp;q=ARCX%3aEWZ&amp;form=skydnc</v>
    <v>Learn more on Bing</v>
  </rv>
  <rv s="1">
    <v>en-US</v>
    <v>a1sh52</v>
    <v>268435456</v>
    <v>1</v>
    <v>Powered by Refinitiv</v>
    <v>0</v>
    <v>iShares:MSCI Brazil (ARCX:EWZ)</v>
    <v>2</v>
    <v>3</v>
    <v>Finance</v>
    <v>4</v>
    <v>31.14</v>
    <v>22.26</v>
    <v>1.1028</v>
    <v>-0.1</v>
    <v>-1.0859999999999999E-3</v>
    <v>-3.6080000000000001E-3</v>
    <v>-0.03</v>
    <v>USD</v>
    <v>NYSE Arca</v>
    <v>ARCX</v>
    <v>5.8999999999999999E-3</v>
    <v>27.695</v>
    <v>ETF</v>
    <v>45818.000000022657</v>
    <v>481</v>
    <v>27.2</v>
    <v>4298987075.4300003</v>
    <v>iShares:MSCI Brazil</v>
    <v>27.4</v>
    <v>27.72</v>
    <v>27.62</v>
    <v>27.59</v>
    <v>EWZ</v>
    <v>iShares:MSCI Brazil (ARCX:EWZ)</v>
    <v>20783099</v>
    <v>23705707</v>
  </rv>
  <rv s="2">
    <v>482</v>
  </rv>
  <rv s="0">
    <v>https://www.bing.com/financeapi/forcetrigger?t=a1sgec&amp;q=ARCX%3aEWS&amp;form=skydnc</v>
    <v>Learn more on Bing</v>
  </rv>
  <rv s="1">
    <v>en-US</v>
    <v>a1sgec</v>
    <v>268435456</v>
    <v>1</v>
    <v>Powered by Refinitiv</v>
    <v>0</v>
    <v>iShares:MSCI Singapore (ARCX:EWS)</v>
    <v>2</v>
    <v>3</v>
    <v>Finance</v>
    <v>4</v>
    <v>26.48</v>
    <v>18.239999999999998</v>
    <v>0.82730000000000004</v>
    <v>-0.1</v>
    <v>-2.2889999999999998E-3</v>
    <v>-3.8010000000000001E-3</v>
    <v>-0.06</v>
    <v>USD</v>
    <v>NYSE Arca</v>
    <v>ARCX</v>
    <v>5.0000000000000001E-3</v>
    <v>26.31</v>
    <v>ETF</v>
    <v>45818.000000034372</v>
    <v>484</v>
    <v>26.14</v>
    <v>725250502.74000001</v>
    <v>iShares:MSCI Singapore</v>
    <v>26.31</v>
    <v>26.31</v>
    <v>26.21</v>
    <v>26.15</v>
    <v>EWS</v>
    <v>iShares:MSCI Singapore (ARCX:EWS)</v>
    <v>289869</v>
    <v>513921</v>
  </rv>
  <rv s="2">
    <v>485</v>
  </rv>
  <rv s="0">
    <v>https://www.bing.com/financeapi/forcetrigger?t=a1sf9c&amp;q=ARCX%3aEWG&amp;form=skydnc</v>
    <v>Learn more on Bing</v>
  </rv>
  <rv s="1">
    <v>en-US</v>
    <v>a1sf9c</v>
    <v>268435456</v>
    <v>1</v>
    <v>Powered by Refinitiv</v>
    <v>0</v>
    <v>iShares:MSCI Germany (ARCX:EWG)</v>
    <v>2</v>
    <v>3</v>
    <v>Finance</v>
    <v>4</v>
    <v>42.87</v>
    <v>29.274999999999999</v>
    <v>1.2076</v>
    <v>-0.21</v>
    <v>0</v>
    <v>-4.9389999999999998E-3</v>
    <v>0</v>
    <v>USD</v>
    <v>NYSE Arca</v>
    <v>ARCX</v>
    <v>5.0000000000000001E-3</v>
    <v>42.44</v>
    <v>ETF</v>
    <v>45818.000000914064</v>
    <v>487</v>
    <v>42.21</v>
    <v>2766639918.0700002</v>
    <v>iShares:MSCI Germany</v>
    <v>42.24</v>
    <v>42.52</v>
    <v>42.31</v>
    <v>42.31</v>
    <v>EWG</v>
    <v>iShares:MSCI Germany (ARCX:EWG)</v>
    <v>1341880</v>
    <v>2641066</v>
  </rv>
  <rv s="2">
    <v>488</v>
  </rv>
  <rv s="0">
    <v>https://www.bing.com/financeapi/forcetrigger?t=a25g2w&amp;q=BATS%3aVNM&amp;form=skydnc</v>
    <v>Learn more on Bing</v>
  </rv>
  <rv s="1">
    <v>en-US</v>
    <v>a25g2w</v>
    <v>268435456</v>
    <v>1</v>
    <v>Powered by Refinitiv</v>
    <v>0</v>
    <v>VanEck:Vietnam (BATS:VNM)</v>
    <v>2</v>
    <v>3</v>
    <v>Finance</v>
    <v>12</v>
    <v>13.98</v>
    <v>10.1</v>
    <v>1.9360999999999999</v>
    <v>-0.36499999999999999</v>
    <v>5.2790000000000007E-3</v>
    <v>-2.6760000000000003E-2</v>
    <v>7.0000000000000007E-2</v>
    <v>USD</v>
    <v>CBOE BZX Exchange</v>
    <v>BATS</v>
    <v>6.1999999999999998E-3</v>
    <v>13.39</v>
    <v>ETF</v>
    <v>45817.987967789064</v>
    <v>490</v>
    <v>13.202</v>
    <v>416147489.01999998</v>
    <v>VanEck:Vietnam</v>
    <v>13.29</v>
    <v>13.64</v>
    <v>13.275</v>
    <v>13.33</v>
    <v>VNM</v>
    <v>VanEck:Vietnam (BATS:VNM)</v>
    <v>752918</v>
    <v>543822</v>
  </rv>
  <rv s="2">
    <v>491</v>
  </rv>
  <rv s="0">
    <v>https://www.bing.com/financeapi/forcetrigger?t=a1tjim&amp;q=ARCX%3aFXA&amp;form=skydnc</v>
    <v>Learn more on Bing</v>
  </rv>
  <rv s="1">
    <v>en-US</v>
    <v>a1tjim</v>
    <v>268435456</v>
    <v>1</v>
    <v>Powered by Refinitiv</v>
    <v>0</v>
    <v>Invesco:AU Dollar (ARCX:FXA)</v>
    <v>2</v>
    <v>3</v>
    <v>Finance</v>
    <v>4</v>
    <v>68.78</v>
    <v>58.9</v>
    <v>0.78269999999999995</v>
    <v>0.23</v>
    <v>-6.6579999999999999E-3</v>
    <v>3.5739999999999999E-3</v>
    <v>-0.43</v>
    <v>USD</v>
    <v>NYSE Arca</v>
    <v>ARCX</v>
    <v>4.0000000000000001E-3</v>
    <v>64.650000000000006</v>
    <v>ETF</v>
    <v>45818.000000034372</v>
    <v>493</v>
    <v>64.459999999999994</v>
    <v>92460478.5</v>
    <v>Invesco:AU Dollar</v>
    <v>64.48</v>
    <v>64.349999999999994</v>
    <v>64.58</v>
    <v>64.150000000000006</v>
    <v>FXA</v>
    <v>Invesco:AU Dollar (ARCX:FXA)</v>
    <v>18870</v>
    <v>35446</v>
  </rv>
  <rv s="2">
    <v>494</v>
  </rv>
  <rv s="0">
    <v>https://www.bing.com/financeapi/forcetrigger?t=a1tl8m&amp;q=ARCX%3aFXY&amp;form=skydnc</v>
    <v>Learn more on Bing</v>
  </rv>
  <rv s="1">
    <v>en-US</v>
    <v>a1tl8m</v>
    <v>268435456</v>
    <v>1</v>
    <v>Powered by Refinitiv</v>
    <v>0</v>
    <v>Invesco:Japanese Yen (ARCX:FXY)</v>
    <v>2</v>
    <v>3</v>
    <v>Finance</v>
    <v>4</v>
    <v>65.88</v>
    <v>57.17</v>
    <v>1.1940999999999999</v>
    <v>0.11</v>
    <v>-7.8420000000000009E-4</v>
    <v>1.7280000000000002E-3</v>
    <v>-0.05</v>
    <v>USD</v>
    <v>NYSE Arca</v>
    <v>ARCX</v>
    <v>4.4000000000000003E-3</v>
    <v>63.84</v>
    <v>ETF</v>
    <v>45817.965575786722</v>
    <v>496</v>
    <v>63.65</v>
    <v>859079003.00999999</v>
    <v>Invesco:Japanese Yen</v>
    <v>63.65</v>
    <v>63.65</v>
    <v>63.76</v>
    <v>63.71</v>
    <v>FXY</v>
    <v>Invesco:Japanese Yen (ARCX:FXY)</v>
    <v>399631</v>
    <v>360245</v>
  </rv>
  <rv s="2">
    <v>497</v>
  </rv>
  <rv s="0">
    <v>https://www.bing.com/financeapi/forcetrigger?t=a1tjlh&amp;q=ARCX%3aFXB&amp;form=skydnc</v>
    <v>Learn more on Bing</v>
  </rv>
  <rv s="1">
    <v>en-US</v>
    <v>a1tjlh</v>
    <v>268435456</v>
    <v>1</v>
    <v>Powered by Refinitiv</v>
    <v>0</v>
    <v>Invesco:GBP Sterling (ARCX:FXB)</v>
    <v>2</v>
    <v>3</v>
    <v>Finance</v>
    <v>4</v>
    <v>130.85</v>
    <v>116.7432</v>
    <v>0.56779999999999997</v>
    <v>0.3</v>
    <v>-7.67E-4</v>
    <v>2.3059999999999999E-3</v>
    <v>-0.1</v>
    <v>USD</v>
    <v>NYSE Arca</v>
    <v>ARCX</v>
    <v>4.0000000000000001E-3</v>
    <v>130.41999999999999</v>
    <v>ETF</v>
    <v>45818.000000010936</v>
    <v>499</v>
    <v>130.03</v>
    <v>84377475.629999995</v>
    <v>Invesco:GBP Sterling</v>
    <v>130.03</v>
    <v>130.07</v>
    <v>130.37</v>
    <v>130.27000000000001</v>
    <v>FXB</v>
    <v>Invesco:GBP Sterling (ARCX:FXB)</v>
    <v>10299</v>
    <v>18432</v>
  </rv>
  <rv s="2">
    <v>500</v>
  </rv>
  <rv s="0">
    <v>https://www.bing.com/financeapi/forcetrigger?t=a1tjww&amp;q=ARCX%3aFXE&amp;form=skydnc</v>
    <v>Learn more on Bing</v>
  </rv>
  <rv s="1">
    <v>en-US</v>
    <v>a1tjww</v>
    <v>268435456</v>
    <v>1</v>
    <v>Powered by Refinitiv</v>
    <v>0</v>
    <v>Invesco:Euro (ARCX:FXE)</v>
    <v>2</v>
    <v>3</v>
    <v>Finance</v>
    <v>4</v>
    <v>106.46</v>
    <v>94.08</v>
    <v>0.47810000000000002</v>
    <v>0.25</v>
    <v>-3.9839999999999997E-3</v>
    <v>2.3769999999999998E-3</v>
    <v>-0.42</v>
    <v>USD</v>
    <v>NYSE Arca</v>
    <v>ARCX</v>
    <v>4.0000000000000001E-3</v>
    <v>105.5</v>
    <v>ETF</v>
    <v>45818.000000948436</v>
    <v>502</v>
    <v>105.16</v>
    <v>524105283.12</v>
    <v>Invesco:Euro</v>
    <v>105.16</v>
    <v>105.18</v>
    <v>105.43</v>
    <v>105.01</v>
    <v>FXE</v>
    <v>Invesco:Euro (ARCX:FXE)</v>
    <v>82009</v>
    <v>172092</v>
  </rv>
  <rv s="2">
    <v>503</v>
  </rv>
  <rv s="0">
    <v>https://www.bing.com/financeapi/forcetrigger?t=a1tk6h&amp;q=ARCX%3aFXF&amp;form=skydnc</v>
    <v>Learn more on Bing</v>
  </rv>
  <rv s="1">
    <v>en-US</v>
    <v>a1tk6h</v>
    <v>268435456</v>
    <v>1</v>
    <v>Powered by Refinitiv</v>
    <v>0</v>
    <v>Invesco:Swiss Franc (ARCX:FXF)</v>
    <v>2</v>
    <v>3</v>
    <v>Finance</v>
    <v>4</v>
    <v>110.36</v>
    <v>96.61</v>
    <v>0.54459999999999997</v>
    <v>6.5000000000000002E-2</v>
    <v>-4.2599999999999999E-5</v>
    <v>6.0240000000000001E-4</v>
    <v>-4.5999999999999999E-3</v>
    <v>USD</v>
    <v>NYSE Arca</v>
    <v>ARCX</v>
    <v>4.0000000000000001E-3</v>
    <v>108.13</v>
    <v>ETF</v>
    <v>45817.840277777781</v>
    <v>505</v>
    <v>107.85</v>
    <v>475119719.69999999</v>
    <v>Invesco:Swiss Franc</v>
    <v>107.88</v>
    <v>107.91</v>
    <v>107.97499999999999</v>
    <v>107.9704</v>
    <v>FXF</v>
    <v>Invesco:Swiss Franc (ARCX:FXF)</v>
    <v>63249</v>
    <v>115333</v>
  </rv>
  <rv s="2">
    <v>506</v>
  </rv>
  <rv s="0">
    <v>https://www.bing.com/financeapi/forcetrigger?t=a1tjoc&amp;q=ARCX%3aFXC&amp;form=skydnc</v>
    <v>Learn more on Bing</v>
  </rv>
  <rv s="1">
    <v>en-US</v>
    <v>a1tjoc</v>
    <v>268435456</v>
    <v>1</v>
    <v>Powered by Refinitiv</v>
    <v>0</v>
    <v>Invesco:Canadian Dollar (ARCX:FXC)</v>
    <v>2</v>
    <v>3</v>
    <v>Finance</v>
    <v>4</v>
    <v>72.825000000000003</v>
    <v>66.52</v>
    <v>0.39500000000000002</v>
    <v>0.06</v>
    <v>-6.759E-4</v>
    <v>8.4029999999999999E-4</v>
    <v>-4.8300000000000003E-2</v>
    <v>USD</v>
    <v>NYSE Arca</v>
    <v>ARCX</v>
    <v>4.0000000000000001E-3</v>
    <v>71.510000000000005</v>
    <v>ETF</v>
    <v>45818.000000034372</v>
    <v>508</v>
    <v>71.34</v>
    <v>88889276.670000002</v>
    <v>Invesco:Canadian Dollar</v>
    <v>71.44</v>
    <v>71.400000000000006</v>
    <v>71.459999999999994</v>
    <v>71.411699999999996</v>
    <v>FXC</v>
    <v>Invesco:Canadian Dollar (ARCX:FXC)</v>
    <v>16448</v>
    <v>54685</v>
  </rv>
  <rv s="2">
    <v>509</v>
  </rv>
  <rv s="0">
    <v>https://www.bing.com/financeapi/forcetrigger?t=a1pi52&amp;q=ARCX%3aCEW&amp;form=skydnc</v>
    <v>Learn more on Bing</v>
  </rv>
  <rv s="1">
    <v>en-US</v>
    <v>a1pi52</v>
    <v>268435456</v>
    <v>1</v>
    <v>Powered by Refinitiv</v>
    <v>0</v>
    <v>WisdomTree:Em Curr Str (ARCX:CEW)</v>
    <v>2</v>
    <v>3</v>
    <v>Finance</v>
    <v>4</v>
    <v>19.89</v>
    <v>16.911000000000001</v>
    <v>0.58050000000000002</v>
    <v>1.2500000000000001E-2</v>
    <v>-3.1419999999999998E-3</v>
    <v>6.7769999999999994E-4</v>
    <v>-5.8000000000000003E-2</v>
    <v>USD</v>
    <v>NYSE Arca</v>
    <v>ARCX</v>
    <v>5.5000000000000005E-3</v>
    <v>18.457999999999998</v>
    <v>ETF</v>
    <v>45817.840277777781</v>
    <v>511</v>
    <v>18.41</v>
    <v>10935598.699999999</v>
    <v>WisdomTree:Em Curr Str</v>
    <v>18.41</v>
    <v>18.445499999999999</v>
    <v>18.457999999999998</v>
    <v>18.399999999999999</v>
    <v>CEW</v>
    <v>WisdomTree:Em Curr Str (ARCX:CEW)</v>
    <v>2924</v>
    <v>4663</v>
  </rv>
  <rv s="2">
    <v>512</v>
  </rv>
  <rv s="0">
    <v>https://www.bing.com/financeapi/forcetrigger?t=a2557w&amp;q=ARCX%3aUUP&amp;form=skydnc</v>
    <v>Learn more on Bing</v>
  </rv>
  <rv s="1">
    <v>en-US</v>
    <v>a2557w</v>
    <v>268435456</v>
    <v>1</v>
    <v>Powered by Refinitiv</v>
    <v>0</v>
    <v>Invesco DB USD Idx Bl (ARCX:UUP)</v>
    <v>2</v>
    <v>3</v>
    <v>Finance</v>
    <v>4</v>
    <v>30.69</v>
    <v>26.99</v>
    <v>-0.53380000000000005</v>
    <v>-7.0000000000000007E-2</v>
    <v>0</v>
    <v>-2.5509999999999999E-3</v>
    <v>0</v>
    <v>USD</v>
    <v>NYSE Arca</v>
    <v>ARCX</v>
    <v>7.4000000000000003E-3</v>
    <v>27.45</v>
    <v>ETF</v>
    <v>45818.000000022657</v>
    <v>514</v>
    <v>27.37</v>
    <v>267626460.94999999</v>
    <v>Invesco DB USD Idx Bl</v>
    <v>27.45</v>
    <v>27.44</v>
    <v>27.37</v>
    <v>27.37</v>
    <v>UUP</v>
    <v>Invesco DB USD Idx Bl (ARCX:UUP)</v>
    <v>604624</v>
    <v>903720</v>
  </rv>
  <rv s="2">
    <v>515</v>
  </rv>
  <rv s="0">
    <v>https://www.bing.com/financeapi/forcetrigger?t=a1x5mw&amp;q=XNYS%3aLTC&amp;form=skydnc</v>
    <v>Learn more on Bing</v>
  </rv>
  <rv s="5">
    <v>en-US</v>
    <v>a1x5mw</v>
    <v>268435456</v>
    <v>1</v>
    <v>Powered by Refinitiv</v>
    <v>13</v>
    <v>LTC PROPERTIES, INC. (XNYS:LTC)</v>
    <v>14</v>
    <v>15</v>
    <v>Finance</v>
    <v>16</v>
    <v>39.89</v>
    <v>31.7</v>
    <v>0.65939999999999999</v>
    <v>0.06</v>
    <v>6.0019999999999995E-3</v>
    <v>1.7180000000000001E-3</v>
    <v>0.21</v>
    <v>USD</v>
    <v>LTC Properties, Inc. is a real estate investment trust (REIT). The Company invests in senior housing and healthcare properties through sale-leasebacks, mortgage financing, joint ventures, construction financing and structured finance solutions, including preferred equity, and mezzanine lending. It invests in various properties, including skilled nursing centers (SNF), which provide restorative, rehabilitative and nursing care; Assisted living facilities (ALF), which serve people who require assistance with activities of daily living; Independent living facilities (ILF), also known as retirement communities or senior apartments, offers a community and numerous levels of service, such as laundry, housekeeping, dining options/meal plans, exercise and wellness programs, transportation, social, cultural and recreational activities, on-site security, and others, and Memory care facilities (MC), offers specialized options for people with Alzheimer’s disease and other forms of dementia.</v>
    <v>23</v>
    <v>New York Stock Exchange</v>
    <v>XNYS</v>
    <v>XNYS</v>
    <v>3011 Townsgate Road, Suite 220, WESTLAKE VILLAGE, CA, 91361 US</v>
    <v>35.119999999999997</v>
    <v>Residential &amp; Commercial REIT</v>
    <v>Stock</v>
    <v>45817.984183275003</v>
    <v>517</v>
    <v>34.53</v>
    <v>1607110644</v>
    <v>LTC PROPERTIES, INC.</v>
    <v>LTC PROPERTIES, INC.</v>
    <v>34.85</v>
    <v>18.020299999999999</v>
    <v>34.93</v>
    <v>34.99</v>
    <v>35.200000000000003</v>
    <v>45930570</v>
    <v>LTC</v>
    <v>LTC PROPERTIES, INC. (XNYS:LTC)</v>
    <v>249594</v>
    <v>328753</v>
    <v>1992</v>
  </rv>
  <rv s="2">
    <v>518</v>
  </rv>
  <rv s="3">
    <v>en-US</v>
    <v>ce8mrw</v>
    <v>268435456</v>
    <v>1</v>
    <v>Powered by Refinitiv</v>
    <v>5</v>
    <v>iShares Ethereum Trust (XNAS:ETHA)</v>
    <v>6</v>
    <v>7</v>
    <v>Finance</v>
    <v>4</v>
    <v>31.18</v>
    <v>10.99</v>
    <v>0.75</v>
    <v>3.8818999999999999E-2</v>
    <v>3.9871999999999998E-2</v>
    <v>0.75929999999999997</v>
    <v>USD</v>
    <v>Nasdaq Stock Market</v>
    <v>XNAS</v>
    <v>1.2999999999999999E-3</v>
    <v>19.63</v>
    <v>ETF</v>
    <v>45817.999747314061</v>
    <v>19.010000000000002</v>
    <v>3583032841.3600001</v>
    <v>iShares Ethereum Trust</v>
    <v>19.21</v>
    <v>18.809999999999999</v>
    <v>19.559999999999999</v>
    <v>20.319299999999998</v>
    <v>ETHA</v>
    <v>iShares Ethereum Trust (XNAS:ETHA)</v>
    <v>14496953</v>
    <v>13676155</v>
  </rv>
  <rv s="2">
    <v>520</v>
  </rv>
  <rv s="0">
    <v>https://www.bing.com/financeapi/forcetrigger?t=a1ykim&amp;q=ARCX%3aNLR&amp;form=skydnc</v>
    <v>Learn more on Bing</v>
  </rv>
  <rv s="1">
    <v>en-US</v>
    <v>a1ykim</v>
    <v>268435456</v>
    <v>1</v>
    <v>Powered by Refinitiv</v>
    <v>0</v>
    <v>VanEck:Urnium &amp; Nuclr En (ARCX:NLR)</v>
    <v>2</v>
    <v>3</v>
    <v>Finance</v>
    <v>4</v>
    <v>102.87</v>
    <v>64.260000000000005</v>
    <v>0.67779999999999996</v>
    <v>2.29</v>
    <v>4.2180000000000004E-3</v>
    <v>2.2978000000000002E-2</v>
    <v>0.43</v>
    <v>USD</v>
    <v>NYSE Arca</v>
    <v>ARCX</v>
    <v>5.5000000000000005E-3</v>
    <v>102.87</v>
    <v>ETF</v>
    <v>45818.000000034372</v>
    <v>522</v>
    <v>100</v>
    <v>1271425607.26</v>
    <v>VanEck:Urnium &amp; Nuclr En</v>
    <v>101.1</v>
    <v>99.66</v>
    <v>101.95</v>
    <v>102.38</v>
    <v>NLR</v>
    <v>VanEck:Urnium &amp; Nuclr En (ARCX:NLR)</v>
    <v>663038</v>
    <v>257244</v>
  </rv>
  <rv s="2">
    <v>523</v>
  </rv>
  <rv s="0">
    <v>https://www.bing.com/financeapi/forcetrigger?t=c2xccw&amp;q=ARCX%3aBOAT&amp;form=skydnc</v>
    <v>Learn more on Bing</v>
  </rv>
  <rv s="1">
    <v>en-US</v>
    <v>c2xccw</v>
    <v>268435456</v>
    <v>1</v>
    <v>Powered by Refinitiv</v>
    <v>0</v>
    <v>Tidal:SS Glb Ship (ARCX:BOAT)</v>
    <v>2</v>
    <v>3</v>
    <v>Finance</v>
    <v>4</v>
    <v>38.090000000000003</v>
    <v>22.16</v>
    <v>1.4003000000000001</v>
    <v>0.27200000000000002</v>
    <v>-4.7220000000000005E-3</v>
    <v>9.2589999999999999E-3</v>
    <v>-0.14000000000000001</v>
    <v>USD</v>
    <v>NYSE Arca</v>
    <v>ARCX</v>
    <v>6.8999999999999999E-3</v>
    <v>29.66</v>
    <v>ETF</v>
    <v>45818.000000821092</v>
    <v>525</v>
    <v>29.405999999999999</v>
    <v>38114978.609999999</v>
    <v>Tidal:SS Glb Ship</v>
    <v>29.58</v>
    <v>29.378</v>
    <v>29.65</v>
    <v>29.51</v>
    <v>BOAT</v>
    <v>Tidal:SS Glb Ship (ARCX:BOAT)</v>
    <v>8116</v>
    <v>21215</v>
  </rv>
  <rv s="2">
    <v>526</v>
  </rv>
  <rv s="0">
    <v>https://www.bing.com/financeapi/forcetrigger?t=c5o9nm&amp;q=BATS%3aUVIX&amp;form=skydnc</v>
    <v>Learn more on Bing</v>
  </rv>
  <rv s="1">
    <v>en-US</v>
    <v>c5o9nm</v>
    <v>268435456</v>
    <v>1</v>
    <v>Powered by Refinitiv</v>
    <v>0</v>
    <v>VS:2x Long VIX Futures (BATS:UVIX)</v>
    <v>2</v>
    <v>3</v>
    <v>Finance</v>
    <v>12</v>
    <v>199.7</v>
    <v>24.875</v>
    <v>-4.1124999999999998</v>
    <v>-0.65</v>
    <v>-1.9139999999999999E-3</v>
    <v>-2.5048000000000001E-2</v>
    <v>-4.8500000000000001E-2</v>
    <v>USD</v>
    <v>CBOE BZX Exchange</v>
    <v>BATS</v>
    <v>2.3599999999999999E-2</v>
    <v>25.829899999999999</v>
    <v>ETF</v>
    <v>45817.999911782033</v>
    <v>528</v>
    <v>24.875</v>
    <v>379943103.31</v>
    <v>VS:2x Long VIX Futures</v>
    <v>25.61</v>
    <v>25.95</v>
    <v>25.3</v>
    <v>25.291499999999999</v>
    <v>UVIX</v>
    <v>VS:2x Long VIX Futures (BATS:UVIX)</v>
    <v>7035716</v>
    <v>8719534</v>
  </rv>
  <rv s="2">
    <v>529</v>
  </rv>
  <rv s="0">
    <v>https://www.bing.com/financeapi/forcetrigger?t=a255p2&amp;q=BATS%3aUVXY&amp;form=skydnc</v>
    <v>Learn more on Bing</v>
  </rv>
  <rv s="1">
    <v>en-US</v>
    <v>a255p2</v>
    <v>268435456</v>
    <v>1</v>
    <v>Powered by Refinitiv</v>
    <v>0</v>
    <v>ProShs II:UltVIX STF (BATS:UVXY)</v>
    <v>2</v>
    <v>3</v>
    <v>Finance</v>
    <v>12</v>
    <v>65.87</v>
    <v>17.265000000000001</v>
    <v>-3.1371000000000002</v>
    <v>-0.34499999999999997</v>
    <v>4.9240000000000006E-6</v>
    <v>-1.6707E-2</v>
    <v>1E-4</v>
    <v>USD</v>
    <v>CBOE BZX Exchange</v>
    <v>BATS</v>
    <v>1.8600000000000002E-2</v>
    <v>20.574999999999999</v>
    <v>ETF</v>
    <v>45817.999964316405</v>
    <v>531</v>
    <v>20.02</v>
    <v>373877453.54000002</v>
    <v>ProShs II:UltVIX STF</v>
    <v>20.45</v>
    <v>20.65</v>
    <v>20.305</v>
    <v>20.310099999999998</v>
    <v>UVXY</v>
    <v>ProShs II:UltVIX STF (BATS:UVXY)</v>
    <v>9031675</v>
    <v>14791037</v>
  </rv>
  <rv s="2">
    <v>532</v>
  </rv>
  <rv s="0">
    <v>https://www.bing.com/financeapi/forcetrigger?t=a25dp2&amp;q=BATS%3aVIXY&amp;form=skydnc</v>
    <v>Learn more on Bing</v>
  </rv>
  <rv s="1">
    <v>en-US</v>
    <v>a25dp2</v>
    <v>268435456</v>
    <v>1</v>
    <v>Powered by Refinitiv</v>
    <v>0</v>
    <v>ProShs II:VIX ST Fut (BATS:VIXY)</v>
    <v>2</v>
    <v>3</v>
    <v>Finance</v>
    <v>12</v>
    <v>90.08</v>
    <v>39.56</v>
    <v>-2.1255000000000002</v>
    <v>-0.61</v>
    <v>1.8270000000000001E-3</v>
    <v>-1.2254000000000001E-2</v>
    <v>8.9700000000000002E-2</v>
    <v>USD</v>
    <v>CBOE BZX Exchange</v>
    <v>BATS</v>
    <v>1.09E-2</v>
    <v>49.515000000000001</v>
    <v>ETF</v>
    <v>45817.993364142967</v>
    <v>534</v>
    <v>48.69</v>
    <v>129732754.29000001</v>
    <v>ProShs II:VIX ST Fut</v>
    <v>49.3</v>
    <v>49.78</v>
    <v>49.17</v>
    <v>49.1997</v>
    <v>VIXY</v>
    <v>ProShs II:VIX ST Fut (BATS:VIXY)</v>
    <v>743443</v>
    <v>937346</v>
  </rv>
  <rv s="2">
    <v>535</v>
  </rv>
  <rv s="9">
    <v>en-US</v>
    <v>ccr25r</v>
    <v>268435456</v>
    <v>1</v>
    <v>Powered by Refinitiv</v>
    <v>24</v>
    <v>DESTINY TECH100 INC. (XNYS:DXYZ)</v>
    <v>25</v>
    <v>26</v>
    <v>Finance</v>
    <v>16</v>
    <v>77.350399999999993</v>
    <v>9</v>
    <v>3.01</v>
    <v>-1.7308E-2</v>
    <v>7.5742000000000004E-2</v>
    <v>-0.7399</v>
    <v>USD</v>
    <v>Destiny Tech100 Inc. (the Fund) is a non-diversified, closed-end management investment company. The Fund’s investment objective is to maximize the portfolio’s total return, principally by seeking capital gains on equity and equity-related investments. Under normal market conditions, the Fund will invest at least 80% of its total assets in equity and equity-linked securities of companies principally engaged in the technology sector. The Fund will invest in the equity and equity-linked securities of what it believes to be rapidly growing venture-capital-backed emerging companies, located in the United States. The Fund may also invest on an opportunistic basis in select United States publicly traded equity securities or certain non-United States companies that otherwise meet its investment criteria. It concentrates its investments in companies operating in one or more industries within the technology group of industries. Destiny Advisors LLC serves as the investment adviser to the Fund.</v>
    <v>New York Stock Exchange</v>
    <v>XNYS</v>
    <v>XNYS</v>
    <v>1401 Lavaca Street #144, AUSTIN, TX, 78701 US</v>
    <v>43.59</v>
    <v>Collective Investments</v>
    <v>Stock</v>
    <v>45817.999438587503</v>
    <v>38</v>
    <v>432367400</v>
    <v>DESTINY TECH100 INC.</v>
    <v>DESTINY TECH100 INC.</v>
    <v>38.93</v>
    <v>26.6904</v>
    <v>39.74</v>
    <v>42.75</v>
    <v>42.010100000000001</v>
    <v>10879910</v>
    <v>DXYZ</v>
    <v>DESTINY TECH100 INC. (XNYS:DXYZ)</v>
    <v>832785</v>
    <v>581036</v>
    <v>2020</v>
  </rv>
  <rv s="2">
    <v>537</v>
  </rv>
  <rv s="0">
    <v>https://www.bing.com/financeapi/forcetrigger?t=a25nqh&amp;q=ARCX%3aVXF&amp;form=skydnc</v>
    <v>Learn more on Bing</v>
  </rv>
  <rv s="1">
    <v>en-US</v>
    <v>a25nqh</v>
    <v>268435456</v>
    <v>1</v>
    <v>Powered by Refinitiv</v>
    <v>0</v>
    <v>Vanguard Ext MI;ETF (ARCX:VXF)</v>
    <v>2</v>
    <v>3</v>
    <v>Finance</v>
    <v>4</v>
    <v>207.77</v>
    <v>146.68</v>
    <v>0.95740000000000003</v>
    <v>0.37</v>
    <v>5.3969999999999999E-3</v>
    <v>1.9620000000000002E-3</v>
    <v>1.02</v>
    <v>USD</v>
    <v>NYSE Arca</v>
    <v>ARCX</v>
    <v>5.0000000000000001E-4</v>
    <v>189.94</v>
    <v>ETF</v>
    <v>45817.962134085159</v>
    <v>539</v>
    <v>188.48</v>
    <v>21258994829</v>
    <v>Vanguard Ext MI;ETF</v>
    <v>189.56</v>
    <v>188.61</v>
    <v>188.98</v>
    <v>190</v>
    <v>VXF</v>
    <v>Vanguard Ext MI;ETF (ARCX:VXF)</v>
    <v>798105</v>
    <v>467895</v>
  </rv>
  <rv s="2">
    <v>540</v>
  </rv>
  <rv s="0">
    <v>https://www.bing.com/financeapi/forcetrigger?t=bwgbur&amp;q=XNAS%3aQQQJ&amp;form=skydnc</v>
    <v>Learn more on Bing</v>
  </rv>
  <rv s="1">
    <v>en-US</v>
    <v>bwgbur</v>
    <v>268435456</v>
    <v>1</v>
    <v>Powered by Refinitiv</v>
    <v>0</v>
    <v>Invesco NASDAQ NG 100 (XNAS:QQQJ)</v>
    <v>2</v>
    <v>3</v>
    <v>Finance</v>
    <v>4</v>
    <v>32.99</v>
    <v>24.891999999999999</v>
    <v>0.96209999999999996</v>
    <v>0.05</v>
    <v>-2.8599999999999997E-3</v>
    <v>1.591E-3</v>
    <v>-0.09</v>
    <v>USD</v>
    <v>Nasdaq Stock Market</v>
    <v>XNAS</v>
    <v>1.5E-3</v>
    <v>31.605</v>
    <v>ETF</v>
    <v>45817.84375021953</v>
    <v>542</v>
    <v>31.4</v>
    <v>599750991.58000004</v>
    <v>Invesco NASDAQ NG 100</v>
    <v>31.55</v>
    <v>31.42</v>
    <v>31.47</v>
    <v>31.38</v>
    <v>QQQJ</v>
    <v>Invesco NASDAQ NG 100 (XNAS:QQQJ)</v>
    <v>56479</v>
    <v>80941</v>
  </rv>
  <rv s="2">
    <v>543</v>
  </rv>
  <rv s="0">
    <v>https://www.bing.com/financeapi/forcetrigger?t=ayqfa2&amp;q=ARCX%3aFNGD&amp;form=skydnc</v>
    <v>Learn more on Bing</v>
  </rv>
  <rv s="10">
    <v>en-US</v>
    <v>ayqfa2</v>
    <v>268435456</v>
    <v>1</v>
    <v>Powered by Refinitiv</v>
    <v>27</v>
    <v>BANK OF MONTREAL (ARCX:FNGD)</v>
    <v>14</v>
    <v>28</v>
    <v>Finance</v>
    <v>16</v>
    <v>36.67</v>
    <v>7.46</v>
    <v>1.2446999999999999</v>
    <v>0.02</v>
    <v>-1.4399999999999999E-3</v>
    <v>2.6250000000000002E-3</v>
    <v>-1.0999999999999999E-2</v>
    <v>USD</v>
    <v>Bank of Montreal (the Bank) is a North American bank. The Bank provides a broad range of personal and commercial banking, wealth management, global markets and investment banking products and services. The Bank serves about 13 million customers across North America, and in select markets globally, through three integrated operating groups: Personal and Commercial Banking (P&amp;C), BMO Wealth Management and BMO Capital Markets. The P&amp;C operating group represents the sum of its two retail and commercial operating segments, Canadian Personal and Commercial Banking (Canadian P&amp;C) and U.S. Personal and Commercial Banking (U.S. P&amp;C). BMO Wealth Management serves a full range of clients, from individuals and families to business owners and institutions, offering a wide spectrum of wealth, asset management and insurance products and services. BMO Capital Markets offers a comprehensive range of products and services to corporate, institutional and government clients.</v>
    <v>53597</v>
    <v>NYSE Arca</v>
    <v>ARCX</v>
    <v>ARCX</v>
    <v>1 First Canadian Place, TORONTO, ON, M5X 1A1 CA</v>
    <v>7.6878000000000002</v>
    <v>Banking Services</v>
    <v>Stock</v>
    <v>45818.000000659376</v>
    <v>545</v>
    <v>7.52</v>
    <v>107075900000</v>
    <v>BANK OF MONTREAL</v>
    <v>BANK OF MONTREAL</v>
    <v>7.56</v>
    <v>7.62</v>
    <v>7.64</v>
    <v>7.6289999999999996</v>
    <v>722070700</v>
    <v>FNGD</v>
    <v>BANK OF MONTREAL (ARCX:FNGD)</v>
    <v>3669875</v>
    <v>4392590</v>
    <v>1995</v>
  </rv>
  <rv s="2">
    <v>546</v>
  </rv>
  <rv s="0">
    <v>https://www.bing.com/financeapi/forcetrigger?t=a23hc7&amp;q=ARCX%3aSPXS&amp;form=skydnc</v>
    <v>Learn more on Bing</v>
  </rv>
  <rv s="1">
    <v>en-US</v>
    <v>a23hc7</v>
    <v>268435456</v>
    <v>1</v>
    <v>Powered by Refinitiv</v>
    <v>0</v>
    <v>Direxion:S&amp;P 500 Bear 3X (ARCX:SPXS)</v>
    <v>2</v>
    <v>3</v>
    <v>Finance</v>
    <v>4</v>
    <v>10.6699</v>
    <v>5.15</v>
    <v>-2.9371</v>
    <v>-0.01</v>
    <v>0</v>
    <v>-1.923E-3</v>
    <v>0</v>
    <v>USD</v>
    <v>NYSE Arca</v>
    <v>ARCX</v>
    <v>1.0200000000000001E-2</v>
    <v>5.23</v>
    <v>ETF</v>
    <v>45817.999668935154</v>
    <v>548</v>
    <v>5.15</v>
    <v>410507835.48000002</v>
    <v>Direxion:S&amp;P 500 Bear 3X</v>
    <v>5.2</v>
    <v>5.2</v>
    <v>5.19</v>
    <v>5.19</v>
    <v>SPXS</v>
    <v>Direxion:S&amp;P 500 Bear 3X (ARCX:SPXS)</v>
    <v>42084482</v>
    <v>70152420</v>
  </rv>
  <rv s="2">
    <v>549</v>
  </rv>
  <rv s="0">
    <v>https://www.bing.com/financeapi/forcetrigger?t=a23imw&amp;q=XNAS%3aSQQQ&amp;form=skydnc</v>
    <v>Learn more on Bing</v>
  </rv>
  <rv s="1">
    <v>en-US</v>
    <v>a23imw</v>
    <v>268435456</v>
    <v>1</v>
    <v>Powered by Refinitiv</v>
    <v>0</v>
    <v>ProShares:UltP Sht QQQ (XNAS:SQQQ)</v>
    <v>2</v>
    <v>3</v>
    <v>Finance</v>
    <v>4</v>
    <v>57.95</v>
    <v>21.94</v>
    <v>-3.0739999999999998</v>
    <v>-0.08</v>
    <v>-2.6939999999999998E-3</v>
    <v>-3.5790000000000001E-3</v>
    <v>-0.06</v>
    <v>USD</v>
    <v>Nasdaq Stock Market</v>
    <v>XNAS</v>
    <v>9.4999999999999998E-3</v>
    <v>22.474</v>
    <v>ETF</v>
    <v>45817.999992812503</v>
    <v>551</v>
    <v>22.05</v>
    <v>3100274790</v>
    <v>ProShares:UltP Sht QQQ</v>
    <v>22.33</v>
    <v>22.35</v>
    <v>22.27</v>
    <v>22.21</v>
    <v>SQQQ</v>
    <v>ProShares:UltP Sht QQQ (XNAS:SQQQ)</v>
    <v>72014931</v>
    <v>109379411</v>
  </rv>
  <rv s="2">
    <v>552</v>
  </rv>
  <rv s="0">
    <v>https://www.bing.com/financeapi/forcetrigger?t=a24q6h&amp;q=ARCX%3aTZA&amp;form=skydnc</v>
    <v>Learn more on Bing</v>
  </rv>
  <rv s="1">
    <v>en-US</v>
    <v>a24q6h</v>
    <v>268435456</v>
    <v>1</v>
    <v>Powered by Refinitiv</v>
    <v>0</v>
    <v>Direxion:Sm Cap Bear 3X (ARCX:TZA)</v>
    <v>2</v>
    <v>3</v>
    <v>Finance</v>
    <v>4</v>
    <v>25.7</v>
    <v>9.66</v>
    <v>-3.0144000000000002</v>
    <v>-0.26</v>
    <v>-2.4120000000000001E-3</v>
    <v>-2.0472000000000001E-2</v>
    <v>-0.03</v>
    <v>USD</v>
    <v>NYSE Arca</v>
    <v>ARCX</v>
    <v>9.8999999999999991E-3</v>
    <v>12.58</v>
    <v>ETF</v>
    <v>45817.999271712499</v>
    <v>554</v>
    <v>12.270099999999999</v>
    <v>281297885.08999997</v>
    <v>Direxion:Sm Cap Bear 3X</v>
    <v>12.35</v>
    <v>12.7</v>
    <v>12.44</v>
    <v>12.41</v>
    <v>TZA</v>
    <v>Direxion:Sm Cap Bear 3X (ARCX:TZA)</v>
    <v>13959619</v>
    <v>17136605</v>
  </rv>
  <rv s="2">
    <v>555</v>
  </rv>
  <rv s="0">
    <v>https://www.bing.com/financeapi/forcetrigger?t=a22f1h&amp;q=ARCX%3aRYU&amp;form=skydnc</v>
    <v>Learn more on Bing</v>
  </rv>
  <rv s="1">
    <v>en-US</v>
    <v>a22f1h</v>
    <v>268435456</v>
    <v>1</v>
    <v>Powered by Refinitiv</v>
    <v>0</v>
    <v>Invesco S&amp;P500 EW Ut (ARCX:RSPU)</v>
    <v>2</v>
    <v>3</v>
    <v>Finance</v>
    <v>4</v>
    <v>73.02</v>
    <v>57.6</v>
    <v>0.97709999999999997</v>
    <v>-0.52</v>
    <v>0</v>
    <v>-7.326E-3</v>
    <v>0</v>
    <v>USD</v>
    <v>NYSE Arca</v>
    <v>ARCX</v>
    <v>4.0000000000000001E-3</v>
    <v>71.06</v>
    <v>ETF</v>
    <v>45818.000000022657</v>
    <v>557</v>
    <v>70.459999999999994</v>
    <v>458128281.25999999</v>
    <v>Invesco S&amp;P500 EW Ut</v>
    <v>70.98</v>
    <v>70.98</v>
    <v>70.459999999999994</v>
    <v>70.459999999999994</v>
    <v>RSPU</v>
    <v>Invesco S&amp;P500 EW Ut (ARCX:RSPU)</v>
    <v>42615</v>
    <v>43942</v>
  </rv>
  <rv s="2">
    <v>558</v>
  </rv>
  <rv s="0">
    <v>https://www.bing.com/financeapi/forcetrigger?t=a22ear&amp;q=ARCX%3aRYF&amp;form=skydnc</v>
    <v>Learn more on Bing</v>
  </rv>
  <rv s="1">
    <v>en-US</v>
    <v>a22ear</v>
    <v>268435456</v>
    <v>1</v>
    <v>Powered by Refinitiv</v>
    <v>0</v>
    <v>Invesco S&amp;P500 EW Fn (ARCX:RSPF)</v>
    <v>2</v>
    <v>3</v>
    <v>Finance</v>
    <v>4</v>
    <v>78.427999999999997</v>
    <v>59.79</v>
    <v>1.0485</v>
    <v>-0.4032</v>
    <v>0</v>
    <v>-5.4530000000000004E-3</v>
    <v>0</v>
    <v>USD</v>
    <v>NYSE Arca</v>
    <v>ARCX</v>
    <v>4.0000000000000001E-3</v>
    <v>73.92</v>
    <v>ETF</v>
    <v>45818.000000034372</v>
    <v>560</v>
    <v>73.031599999999997</v>
    <v>307452079.62</v>
    <v>Invesco S&amp;P500 EW Fn</v>
    <v>73.92</v>
    <v>73.946899999999999</v>
    <v>73.543700000000001</v>
    <v>73.543700000000001</v>
    <v>RSPF</v>
    <v>Invesco S&amp;P500 EW Fn (ARCX:RSPF)</v>
    <v>9216</v>
    <v>8739</v>
  </rv>
  <rv s="2">
    <v>561</v>
  </rv>
  <rv s="0">
    <v>https://www.bing.com/financeapi/forcetrigger?t=bnt7hw&amp;q=ARCX%3aEWCO&amp;form=skydnc</v>
    <v>Learn more on Bing</v>
  </rv>
  <rv s="1">
    <v>en-US</v>
    <v>bnt7hw</v>
    <v>268435456</v>
    <v>1</v>
    <v>Powered by Refinitiv</v>
    <v>0</v>
    <v>Invesco S&amp;P 500 EW CS (ARCX:RSPC)</v>
    <v>2</v>
    <v>3</v>
    <v>Finance</v>
    <v>4</v>
    <v>36.849899999999998</v>
    <v>28.89</v>
    <v>0.99</v>
    <v>-0.15540000000000001</v>
    <v>0</v>
    <v>-4.2309999999999995E-3</v>
    <v>0</v>
    <v>USD</v>
    <v>NYSE Arca</v>
    <v>ARCX</v>
    <v>4.0000000000000001E-3</v>
    <v>36.765000000000001</v>
    <v>ETF</v>
    <v>45818.000000022657</v>
    <v>563</v>
    <v>36.574300000000001</v>
    <v>66047705.25</v>
    <v>Invesco S&amp;P 500 EW CS</v>
    <v>36.765000000000001</v>
    <v>36.729700000000001</v>
    <v>36.574300000000001</v>
    <v>36.574300000000001</v>
    <v>RSPC</v>
    <v>Invesco S&amp;P 500 EW CS (ARCX:RSPC)</v>
    <v>1158</v>
    <v>8050</v>
  </rv>
  <rv s="2">
    <v>564</v>
  </rv>
  <rv s="0">
    <v>https://www.bing.com/financeapi/forcetrigger?t=a21yfr&amp;q=ARCX%3aRGI&amp;form=skydnc</v>
    <v>Learn more on Bing</v>
  </rv>
  <rv s="1">
    <v>en-US</v>
    <v>a21yfr</v>
    <v>268435456</v>
    <v>1</v>
    <v>Powered by Refinitiv</v>
    <v>0</v>
    <v>Invesco S&amp;P500 EW In (ARCX:RSPN)</v>
    <v>2</v>
    <v>3</v>
    <v>Finance</v>
    <v>4</v>
    <v>55.27</v>
    <v>42.276699999999998</v>
    <v>1.0299</v>
    <v>-7.0000000000000007E-2</v>
    <v>0</v>
    <v>-1.322E-3</v>
    <v>0</v>
    <v>USD</v>
    <v>NYSE Arca</v>
    <v>ARCX</v>
    <v>4.0000000000000001E-3</v>
    <v>53.2</v>
    <v>ETF</v>
    <v>45817.977817488281</v>
    <v>566</v>
    <v>52.78</v>
    <v>627753236.48000002</v>
    <v>Invesco S&amp;P500 EW In</v>
    <v>53.07</v>
    <v>52.97</v>
    <v>52.9</v>
    <v>52.9</v>
    <v>RSPN</v>
    <v>Invesco S&amp;P500 EW In (ARCX:RSPN)</v>
    <v>17437</v>
    <v>55194</v>
  </rv>
  <rv s="2">
    <v>567</v>
  </rv>
  <rv s="0">
    <v>https://www.bing.com/financeapi/forcetrigger?t=a22edm&amp;q=ARCX%3aRYH&amp;form=skydnc</v>
    <v>Learn more on Bing</v>
  </rv>
  <rv s="1">
    <v>en-US</v>
    <v>a22edm</v>
    <v>268435456</v>
    <v>1</v>
    <v>Powered by Refinitiv</v>
    <v>0</v>
    <v>Invesco S&amp;P500 EW HC (ARCX:RSPH)</v>
    <v>2</v>
    <v>3</v>
    <v>Finance</v>
    <v>4</v>
    <v>32.849899999999998</v>
    <v>26.36</v>
    <v>1.1061000000000001</v>
    <v>-0.03</v>
    <v>0</v>
    <v>-1.0380000000000001E-3</v>
    <v>0</v>
    <v>USD</v>
    <v>NYSE Arca</v>
    <v>ARCX</v>
    <v>4.0000000000000001E-3</v>
    <v>29.03</v>
    <v>ETF</v>
    <v>45817.900373610937</v>
    <v>569</v>
    <v>28.655000000000001</v>
    <v>744268721.53999996</v>
    <v>Invesco S&amp;P500 EW HC</v>
    <v>28.89</v>
    <v>28.9</v>
    <v>28.87</v>
    <v>28.87</v>
    <v>RSPH</v>
    <v>Invesco S&amp;P500 EW HC (ARCX:RSPH)</v>
    <v>53636</v>
    <v>85410</v>
  </rv>
  <rv s="2">
    <v>570</v>
  </rv>
  <rv s="0">
    <v>https://www.bing.com/financeapi/forcetrigger?t=a21zkr&amp;q=ARCX%3aRHS&amp;form=skydnc</v>
    <v>Learn more on Bing</v>
  </rv>
  <rv s="1">
    <v>en-US</v>
    <v>a21zkr</v>
    <v>268435456</v>
    <v>1</v>
    <v>Powered by Refinitiv</v>
    <v>0</v>
    <v>Invesco S&amp;P500 EW CS (ARCX:RSPS)</v>
    <v>2</v>
    <v>3</v>
    <v>Finance</v>
    <v>4</v>
    <v>32.89</v>
    <v>28.4</v>
    <v>0.92849999999999999</v>
    <v>8.5000000000000006E-3</v>
    <v>0</v>
    <v>2.811E-4</v>
    <v>0</v>
    <v>USD</v>
    <v>NYSE Arca</v>
    <v>ARCX</v>
    <v>4.0000000000000001E-3</v>
    <v>30.35</v>
    <v>ETF</v>
    <v>45818.000000022657</v>
    <v>572</v>
    <v>30.13</v>
    <v>267715752.41</v>
    <v>Invesco S&amp;P500 EW CS</v>
    <v>30.23</v>
    <v>30.241499999999998</v>
    <v>30.25</v>
    <v>30.25</v>
    <v>RSPS</v>
    <v>Invesco S&amp;P500 EW CS (ARCX:RSPS)</v>
    <v>38649</v>
    <v>48414</v>
  </rv>
  <rv s="2">
    <v>573</v>
  </rv>
  <rv s="0">
    <v>https://www.bing.com/financeapi/forcetrigger?t=a22e7w&amp;q=ARCX%3aRYE&amp;form=skydnc</v>
    <v>Learn more on Bing</v>
  </rv>
  <rv s="1">
    <v>en-US</v>
    <v>a22e7w</v>
    <v>268435456</v>
    <v>1</v>
    <v>Powered by Refinitiv</v>
    <v>0</v>
    <v>Invesco S&amp;P500 EW En (ARCX:RSPG)</v>
    <v>2</v>
    <v>3</v>
    <v>Finance</v>
    <v>4</v>
    <v>86.608000000000004</v>
    <v>63.76</v>
    <v>1.1876</v>
    <v>7.0000000000000007E-2</v>
    <v>0</v>
    <v>9.4899999999999997E-4</v>
    <v>0</v>
    <v>USD</v>
    <v>NYSE Arca</v>
    <v>ARCX</v>
    <v>4.0000000000000001E-3</v>
    <v>74.59</v>
    <v>ETF</v>
    <v>45817.840277777781</v>
    <v>575</v>
    <v>73.52</v>
    <v>417576369.48000002</v>
    <v>Invesco S&amp;P500 EW En</v>
    <v>73.989999999999995</v>
    <v>73.760000000000005</v>
    <v>73.83</v>
    <v>73.83</v>
    <v>RSPG</v>
    <v>Invesco S&amp;P500 EW En (ARCX:RSPG)</v>
    <v>54180</v>
    <v>71918</v>
  </rv>
  <rv s="2">
    <v>576</v>
  </rv>
  <rv s="0">
    <v>https://www.bing.com/financeapi/forcetrigger?t=a1sgbh&amp;q=ARCX%3aEWRE&amp;form=skydnc</v>
    <v>Learn more on Bing</v>
  </rv>
  <rv s="1">
    <v>en-US</v>
    <v>a1sgbh</v>
    <v>268435456</v>
    <v>1</v>
    <v>Powered by Refinitiv</v>
    <v>0</v>
    <v>Invesco S&amp;P 500 EWRE (ARCX:RSPR)</v>
    <v>2</v>
    <v>3</v>
    <v>Finance</v>
    <v>4</v>
    <v>38.936999999999998</v>
    <v>30.8309</v>
    <v>1.0049999999999999</v>
    <v>6.1699999999999998E-2</v>
    <v>2.1291000000000001E-2</v>
    <v>1.7539999999999999E-3</v>
    <v>0.75029999999999997</v>
    <v>USD</v>
    <v>NYSE Arca</v>
    <v>ARCX</v>
    <v>4.0000000000000001E-3</v>
    <v>35.479999999999997</v>
    <v>ETF</v>
    <v>45818.000000022657</v>
    <v>578</v>
    <v>34.979399999999998</v>
    <v>106833683.47</v>
    <v>Invesco S&amp;P 500 EWRE</v>
    <v>35.19</v>
    <v>35.177999999999997</v>
    <v>35.239699999999999</v>
    <v>35.99</v>
    <v>RSPR</v>
    <v>Invesco S&amp;P 500 EWRE (ARCX:RSPR)</v>
    <v>7128</v>
    <v>8480</v>
  </rv>
  <rv s="2">
    <v>579</v>
  </rv>
  <rv s="0">
    <v>https://www.bing.com/financeapi/forcetrigger?t=a21rhw&amp;q=ARCX%3aRCD&amp;form=skydnc</v>
    <v>Learn more on Bing</v>
  </rv>
  <rv s="1">
    <v>en-US</v>
    <v>a21rhw</v>
    <v>268435456</v>
    <v>1</v>
    <v>Powered by Refinitiv</v>
    <v>0</v>
    <v>Invesco S&amp;P500 EW CD (ARCX:RSPD)</v>
    <v>2</v>
    <v>3</v>
    <v>Finance</v>
    <v>4</v>
    <v>56.51</v>
    <v>43.47</v>
    <v>1.0813999999999999</v>
    <v>0.14000000000000001</v>
    <v>0</v>
    <v>2.6829999999999996E-3</v>
    <v>0</v>
    <v>USD</v>
    <v>NYSE Arca</v>
    <v>ARCX</v>
    <v>4.0000000000000001E-3</v>
    <v>52.5</v>
    <v>ETF</v>
    <v>45818.000000034372</v>
    <v>581</v>
    <v>52.07</v>
    <v>205403457.28</v>
    <v>Invesco S&amp;P500 EW CD</v>
    <v>52.25</v>
    <v>52.18</v>
    <v>52.32</v>
    <v>52.32</v>
    <v>RSPD</v>
    <v>Invesco S&amp;P500 EW CD (ARCX:RSPD)</v>
    <v>30405</v>
    <v>35005</v>
  </rv>
  <rv s="2">
    <v>582</v>
  </rv>
  <rv s="0">
    <v>https://www.bing.com/financeapi/forcetrigger?t=a22eur&amp;q=ARCX%3aRYT&amp;form=skydnc</v>
    <v>Learn more on Bing</v>
  </rv>
  <rv s="1">
    <v>en-US</v>
    <v>a22eur</v>
    <v>268435456</v>
    <v>1</v>
    <v>Powered by Refinitiv</v>
    <v>0</v>
    <v>Invesco S&amp;P500 EW Tc (ARCX:RSPT)</v>
    <v>2</v>
    <v>3</v>
    <v>Finance</v>
    <v>4</v>
    <v>40.494999999999997</v>
    <v>28.52</v>
    <v>1.0593999999999999</v>
    <v>0.3</v>
    <v>0</v>
    <v>7.7499999999999999E-3</v>
    <v>0</v>
    <v>USD</v>
    <v>NYSE Arca</v>
    <v>ARCX</v>
    <v>4.0000000000000001E-3</v>
    <v>39.21</v>
    <v>ETF</v>
    <v>45818.000000046093</v>
    <v>584</v>
    <v>38.950000000000003</v>
    <v>3280617867.96</v>
    <v>Invesco S&amp;P500 EW Tc</v>
    <v>38.950000000000003</v>
    <v>38.71</v>
    <v>39.01</v>
    <v>39.01</v>
    <v>RSPT</v>
    <v>Invesco S&amp;P500 EW Tc (ARCX:RSPT)</v>
    <v>150486</v>
    <v>291039</v>
  </rv>
  <rv s="2">
    <v>585</v>
  </rv>
  <rv s="0">
    <v>https://www.bing.com/financeapi/forcetrigger?t=a22ap2&amp;q=ARCX%3aRTM&amp;form=skydnc</v>
    <v>Learn more on Bing</v>
  </rv>
  <rv s="1">
    <v>en-US</v>
    <v>a22ap2</v>
    <v>268435456</v>
    <v>1</v>
    <v>Powered by Refinitiv</v>
    <v>0</v>
    <v>Invesco S&amp;P500 EW Mt (ARCX:RSPM)</v>
    <v>2</v>
    <v>3</v>
    <v>Finance</v>
    <v>4</v>
    <v>37.85</v>
    <v>26.63</v>
    <v>1.0566</v>
    <v>0.28000000000000003</v>
    <v>0</v>
    <v>8.6660000000000001E-3</v>
    <v>0</v>
    <v>USD</v>
    <v>NYSE Arca</v>
    <v>ARCX</v>
    <v>4.0000000000000001E-3</v>
    <v>32.83</v>
    <v>ETF</v>
    <v>45818.000000671091</v>
    <v>587</v>
    <v>32.42</v>
    <v>166266017.28</v>
    <v>Invesco S&amp;P500 EW Mt</v>
    <v>32.42</v>
    <v>32.31</v>
    <v>32.590000000000003</v>
    <v>32.590000000000003</v>
    <v>RSPM</v>
    <v>Invesco S&amp;P500 EW Mt (ARCX:RSPM)</v>
    <v>11419</v>
    <v>32379</v>
  </rv>
  <rv s="2">
    <v>588</v>
  </rv>
</rvData>
</file>

<file path=xl/richData/rdrichvaluestructure.xml><?xml version="1.0" encoding="utf-8"?>
<rvStructures xmlns="http://schemas.microsoft.com/office/spreadsheetml/2017/richdata" count="11">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Exchange" t="s"/>
    <k n="Exchange abbreviation" t="s"/>
    <k n="Expense ratio"/>
    <k n="High"/>
    <k n="Instrument type" t="s"/>
    <k n="Last trade time"/>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ountry/region" t="s"/>
    <k n="High"/>
    <k n="Instrument type" t="s"/>
    <k n="LearnMoreOnLink" t="r"/>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7">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35">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Instrument type</v>
      <v t="s">_Flags</v>
      <v t="s">UniqueName</v>
      <v t="s">_DisplayString</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29">
    <spb s="0">
      <v>0</v>
      <v>Name</v>
      <v>LearnMoreOnLink</v>
    </spb>
    <spb s="1">
      <v>0</v>
      <v>0</v>
      <v>0</v>
    </spb>
    <spb s="2">
      <v>1</v>
      <v>1</v>
      <v>1</v>
    </spb>
    <spb s="3">
      <v>1</v>
      <v>2</v>
      <v>1</v>
      <v>3</v>
      <v>1</v>
      <v>1</v>
      <v>1</v>
      <v>4</v>
      <v>5</v>
      <v>6</v>
      <v>1</v>
      <v>1</v>
      <v>5</v>
      <v>1</v>
      <v>4</v>
      <v>7</v>
      <v>8</v>
      <v>1</v>
      <v>1</v>
      <v>5</v>
    </spb>
    <spb s="4">
      <v>at close</v>
      <v>from previous close</v>
      <v>Source: Nasdaq</v>
      <v>from previous close</v>
      <v>GMT</v>
      <v>Delayed 15 minutes</v>
      <v>from close</v>
      <v>from close</v>
    </spb>
    <spb s="5">
      <v>1</v>
      <v>Name</v>
    </spb>
    <spb s="6">
      <v>1</v>
      <v>1</v>
    </spb>
    <spb s="7">
      <v>1</v>
      <v>1</v>
      <v>3</v>
      <v>1</v>
      <v>1</v>
      <v>1</v>
      <v>4</v>
      <v>5</v>
      <v>6</v>
      <v>1</v>
      <v>1</v>
      <v>5</v>
      <v>1</v>
      <v>4</v>
      <v>7</v>
      <v>8</v>
      <v>1</v>
      <v>1</v>
      <v>5</v>
    </spb>
    <spb s="0">
      <v>2</v>
      <v>Name</v>
      <v>LearnMoreOnLink</v>
    </spb>
    <spb s="8">
      <v>1</v>
      <v>1</v>
      <v>3</v>
      <v>1</v>
      <v>1</v>
      <v>1</v>
      <v>5</v>
      <v>1</v>
      <v>1</v>
      <v>1</v>
      <v>8</v>
    </spb>
    <spb s="9">
      <v>from previous close</v>
      <v>from previous close</v>
    </spb>
    <spb s="3">
      <v>1</v>
      <v>2</v>
      <v>1</v>
      <v>3</v>
      <v>1</v>
      <v>1</v>
      <v>1</v>
      <v>4</v>
      <v>5</v>
      <v>6</v>
      <v>1</v>
      <v>1</v>
      <v>5</v>
      <v>1</v>
      <v>4</v>
      <v>9</v>
      <v>8</v>
      <v>1</v>
      <v>1</v>
      <v>5</v>
    </spb>
    <spb s="4">
      <v>at close</v>
      <v>from previous close</v>
      <v>Source: Nasdaq Last Sale</v>
      <v>from previous close</v>
      <v>GMT</v>
      <v>Real-Time Nasdaq Last Sale</v>
      <v>from close</v>
      <v>from close</v>
    </spb>
    <spb s="0">
      <v>3</v>
      <v>Name</v>
      <v>LearnMoreOnLink</v>
    </spb>
    <spb s="10">
      <v>1</v>
      <v>1</v>
      <v>1</v>
      <v>1</v>
    </spb>
    <spb s="11">
      <v>1</v>
      <v>2</v>
      <v>2</v>
      <v>1</v>
      <v>3</v>
      <v>1</v>
      <v>1</v>
      <v>1</v>
      <v>4</v>
      <v>4</v>
      <v>5</v>
      <v>6</v>
      <v>1</v>
      <v>1</v>
      <v>1</v>
      <v>4</v>
      <v>7</v>
      <v>10</v>
      <v>8</v>
      <v>4</v>
      <v>1</v>
      <v>1</v>
      <v>5</v>
    </spb>
    <spb s="12">
      <v>at close</v>
      <v>from previous close</v>
      <v>from previous close</v>
      <v>Source: Nasdaq</v>
      <v>GMT</v>
      <v>Delayed 15 minutes</v>
      <v>from close</v>
      <v>from close</v>
    </spb>
    <spb s="0">
      <v>4</v>
      <v>Name</v>
      <v>LearnMoreOnLink</v>
    </spb>
    <spb s="13">
      <v>0</v>
      <v>0</v>
    </spb>
    <spb s="14">
      <v>18</v>
      <v>1</v>
      <v>1</v>
      <v>1</v>
      <v>1</v>
    </spb>
    <spb s="15">
      <v>1</v>
      <v>2</v>
      <v>2</v>
      <v>1</v>
      <v>3</v>
      <v>1</v>
      <v>11</v>
      <v>1</v>
      <v>1</v>
      <v>4</v>
      <v>4</v>
      <v>5</v>
      <v>6</v>
      <v>1</v>
      <v>1</v>
      <v>1</v>
      <v>4</v>
      <v>7</v>
      <v>10</v>
      <v>8</v>
      <v>4</v>
      <v>1</v>
      <v>1</v>
      <v>5</v>
    </spb>
    <spb s="16">
      <v>Powered by Refinitiv</v>
    </spb>
    <spb s="11">
      <v>12</v>
      <v>2</v>
      <v>2</v>
      <v>12</v>
      <v>3</v>
      <v>12</v>
      <v>12</v>
      <v>12</v>
      <v>4</v>
      <v>4</v>
      <v>5</v>
      <v>13</v>
      <v>12</v>
      <v>12</v>
      <v>12</v>
      <v>4</v>
      <v>7</v>
      <v>10</v>
      <v>8</v>
      <v>4</v>
      <v>12</v>
      <v>12</v>
      <v>5</v>
    </spb>
    <spb s="17">
      <v>at close</v>
      <v>from previous close</v>
      <v>from previous close</v>
      <v>GMT</v>
      <v>Delayed 20 minutes</v>
      <v>from close</v>
      <v>from close</v>
    </spb>
    <spb s="5">
      <v>5</v>
      <v>Name</v>
    </spb>
    <spb s="18">
      <v>1</v>
      <v>1</v>
      <v>1</v>
    </spb>
    <spb s="19">
      <v>1</v>
      <v>2</v>
      <v>1</v>
      <v>3</v>
      <v>1</v>
      <v>1</v>
      <v>1</v>
      <v>4</v>
      <v>5</v>
      <v>6</v>
      <v>1</v>
      <v>1</v>
      <v>1</v>
      <v>4</v>
      <v>7</v>
      <v>10</v>
      <v>8</v>
      <v>4</v>
      <v>1</v>
      <v>1</v>
      <v>5</v>
    </spb>
    <spb s="0">
      <v>6</v>
      <v>Name</v>
      <v>LearnMoreOnLink</v>
    </spb>
    <spb s="20">
      <v>1</v>
      <v>2</v>
      <v>1</v>
      <v>3</v>
      <v>1</v>
      <v>1</v>
      <v>1</v>
      <v>4</v>
      <v>4</v>
      <v>5</v>
      <v>13</v>
      <v>1</v>
      <v>1</v>
      <v>1</v>
      <v>4</v>
      <v>7</v>
      <v>10</v>
      <v>8</v>
      <v>4</v>
      <v>1</v>
      <v>1</v>
      <v>5</v>
    </spb>
  </spbData>
</supportingPropertyBags>
</file>

<file path=xl/richData/rdsupportingpropertybagstructure.xml><?xml version="1.0" encoding="utf-8"?>
<spbStructures xmlns="http://schemas.microsoft.com/office/spreadsheetml/2017/richdata2" count="21">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Order" t="spba"/>
    <k n="TitleProperty" t="s"/>
  </s>
  <s>
    <k n="UniqueName" t="spb"/>
    <k n="`%ProviderInfo" t="spb"/>
  </s>
  <s>
    <k n="Low"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Low" t="i"/>
    <k n="High" t="i"/>
    <k n="Name" t="i"/>
    <k n="Open" t="i"/>
    <k n="Price" t="i"/>
    <k n="Change" t="i"/>
    <k n="Change (%)" t="i"/>
    <k n="52 week low" t="i"/>
    <k n="52 week high" t="i"/>
    <k n="Previous close" t="i"/>
    <k n="`%EntityServiceId" t="i"/>
  </s>
  <s>
    <k n="Change" t="s"/>
    <k n="Change (%)"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Price" t="s"/>
    <k n="Change" t="s"/>
    <k n="Change (%)" t="s"/>
    <k n="Last trade time" t="s"/>
    <k n="Price (Extended hours)" t="s"/>
    <k n="Change (Extended hours)" t="s"/>
    <k n="Change % (Extended hours)" t="s"/>
  </s>
  <s>
    <k n="ExchangeID" t="spb"/>
    <k n="UniqueName" t="spb"/>
    <k n="`%ProviderInfo" t="spb"/>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yyyy/mm/dd\ h:mm"/>
    </x:dxf>
    <x:dxf>
      <x:numFmt numFmtId="14" formatCode="0.00%"/>
    </x:dxf>
    <x:dxf>
      <x:numFmt numFmtId="3" formatCode="#,##0"/>
    </x:dxf>
    <x:dxf>
      <x:numFmt numFmtId="4" formatCode="#,##0.00"/>
    </x:dxf>
    <x:dxf>
      <x:numFmt numFmtId="1" formatCode="0"/>
    </x:dxf>
    <x:dxf>
      <x:numFmt numFmtId="19" formatCode="yyyy/mm/dd"/>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7"/>
    <rSty dxfid="6">
      <rpv i="0">0</rpv>
    </rSty>
    <rSty>
      <rpv i="2">1</rpv>
    </rSty>
    <rSty dxfid="1">
      <rpv i="0">_-[$$-en-CA]* #,##0.00_-;-[$$-en-CA]* #,##0.00_-;_-[$$-en-CA]* "-"??_-;_-@_-</rpv>
    </rSty>
    <rSty dxfid="1">
      <rpv i="0">_-[$$-en-CA]* #,##0_-;-[$$-en-CA]* #,##0_-;_-[$$-en-CA]*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4F1AA-7094-4475-87D1-34E17EB46089}">
  <dimension ref="A1:D15"/>
  <sheetViews>
    <sheetView workbookViewId="0">
      <selection activeCell="B15" sqref="B15"/>
    </sheetView>
  </sheetViews>
  <sheetFormatPr defaultRowHeight="15" x14ac:dyDescent="0.25"/>
  <cols>
    <col min="2" max="2" width="37.5703125" bestFit="1" customWidth="1"/>
  </cols>
  <sheetData>
    <row r="1" spans="1:4" x14ac:dyDescent="0.25">
      <c r="A1" t="s">
        <v>191</v>
      </c>
      <c r="B1" t="s">
        <v>190</v>
      </c>
      <c r="C1" t="s">
        <v>188</v>
      </c>
      <c r="D1" t="s">
        <v>189</v>
      </c>
    </row>
    <row r="2" spans="1:4" x14ac:dyDescent="0.25">
      <c r="A2" t="s">
        <v>5</v>
      </c>
      <c r="B2" t="e" vm="1">
        <v>#VALUE!</v>
      </c>
      <c r="C2" s="1" cm="1">
        <f t="array" aca="1" ref="C2" ca="1">_FV(B2,"Price")</f>
        <v>599.67999999999995</v>
      </c>
      <c r="D2" s="2" cm="1">
        <f t="array" aca="1" ref="D2" ca="1">_FV(B2,"Change (%)",TRUE)</f>
        <v>9.0130000000000006E-4</v>
      </c>
    </row>
    <row r="3" spans="1:4" x14ac:dyDescent="0.25">
      <c r="A3" t="s">
        <v>2</v>
      </c>
      <c r="B3" t="e" vm="2">
        <v>#VALUE!</v>
      </c>
      <c r="C3" s="1" cm="1">
        <f t="array" aca="1" ref="C3" ca="1">_FV(B3,"Price")</f>
        <v>530.70000000000005</v>
      </c>
      <c r="D3" s="2" cm="1">
        <f t="array" aca="1" ref="D3" ca="1">_FV(B3,"Change (%)",TRUE)</f>
        <v>1.472E-3</v>
      </c>
    </row>
    <row r="4" spans="1:4" x14ac:dyDescent="0.25">
      <c r="A4" t="s">
        <v>6</v>
      </c>
      <c r="B4" t="e" vm="3">
        <v>#VALUE!</v>
      </c>
      <c r="C4" s="1" cm="1">
        <f t="array" aca="1" ref="C4" ca="1">_FV(B4,"Price")</f>
        <v>428.36</v>
      </c>
      <c r="D4" s="2" cm="1">
        <f t="array" aca="1" ref="D4" ca="1">_FV(B4,"Change (%)",TRUE)</f>
        <v>-4.6690000000000002E-5</v>
      </c>
    </row>
    <row r="5" spans="1:4" x14ac:dyDescent="0.25">
      <c r="A5" t="s">
        <v>3</v>
      </c>
      <c r="B5" t="e" vm="4">
        <v>#VALUE!</v>
      </c>
      <c r="C5" s="1" cm="1">
        <f t="array" aca="1" ref="C5" ca="1">_FV(B5,"Price")</f>
        <v>213.36</v>
      </c>
      <c r="D5" s="2" cm="1">
        <f t="array" aca="1" ref="D5" ca="1">_FV(B5,"Change (%)",TRUE)</f>
        <v>6.8899999999999994E-3</v>
      </c>
    </row>
    <row r="6" spans="1:4" x14ac:dyDescent="0.25">
      <c r="A6" t="s">
        <v>99</v>
      </c>
      <c r="B6" t="e" vm="5">
        <v>#VALUE!</v>
      </c>
      <c r="C6" s="1" cm="1">
        <f t="array" aca="1" ref="C6" ca="1">_FV(B6,"Price")</f>
        <v>93.68</v>
      </c>
      <c r="D6" s="2" cm="1">
        <f t="array" aca="1" ref="D6" ca="1">_FV(B6,"Change (%)",TRUE)</f>
        <v>1.818E-3</v>
      </c>
    </row>
    <row r="7" spans="1:4" x14ac:dyDescent="0.25">
      <c r="A7" t="s">
        <v>192</v>
      </c>
      <c r="B7" t="e" vm="6">
        <v>#VALUE!</v>
      </c>
      <c r="C7" s="1" cm="1">
        <f t="array" aca="1" ref="C7" ca="1">_FV(B7,"Price")</f>
        <v>61.77</v>
      </c>
      <c r="D7" s="2" cm="1">
        <f t="array" aca="1" ref="D7" ca="1">_FV(B7,"Change (%)",TRUE)</f>
        <v>4.2355999999999998E-2</v>
      </c>
    </row>
    <row r="8" spans="1:4" x14ac:dyDescent="0.25">
      <c r="A8" t="s">
        <v>119</v>
      </c>
      <c r="B8" t="e" vm="7">
        <v>#VALUE!</v>
      </c>
      <c r="C8" s="1" cm="1">
        <f t="array" aca="1" ref="C8" ca="1">_FV(B8,"Price")</f>
        <v>72.05</v>
      </c>
      <c r="D8" s="2" cm="1">
        <f t="array" aca="1" ref="D8" ca="1">_FV(B8,"Change (%)",TRUE)</f>
        <v>9.3860000000000002E-3</v>
      </c>
    </row>
    <row r="9" spans="1:4" x14ac:dyDescent="0.25">
      <c r="A9" t="s">
        <v>194</v>
      </c>
      <c r="B9" t="e" vm="8">
        <v>#VALUE!</v>
      </c>
      <c r="C9" s="1" cm="1">
        <f t="array" aca="1" ref="C9" ca="1">_FV(B9,"Price")</f>
        <v>60.06</v>
      </c>
      <c r="D9" s="2" cm="1">
        <f t="array" aca="1" ref="D9" ca="1">_FV(B9,"Change (%)",TRUE)</f>
        <v>-1.33E-3</v>
      </c>
    </row>
    <row r="10" spans="1:4" x14ac:dyDescent="0.25">
      <c r="A10" t="s">
        <v>147</v>
      </c>
      <c r="B10" t="e" vm="9">
        <v>#VALUE!</v>
      </c>
      <c r="C10" s="1" cm="1">
        <f t="array" aca="1" ref="C10" ca="1">_FV(B10,"Price")</f>
        <v>73.930000000000007</v>
      </c>
      <c r="D10" s="2" cm="1">
        <f t="array" aca="1" ref="D10" ca="1">_FV(B10,"Change (%)",TRUE)</f>
        <v>1.49E-3</v>
      </c>
    </row>
    <row r="11" spans="1:4" x14ac:dyDescent="0.25">
      <c r="A11" t="s">
        <v>193</v>
      </c>
      <c r="B11" t="e" vm="10">
        <v>#VALUE!</v>
      </c>
      <c r="C11" s="1" cm="1">
        <f t="array" aca="1" ref="C11" ca="1">_FV(B11,"Price")</f>
        <v>47.02</v>
      </c>
      <c r="D11" s="2" cm="1">
        <f t="array" aca="1" ref="D11" ca="1">_FV(B11,"Change (%)",TRUE)</f>
        <v>7.0679999999999996E-3</v>
      </c>
    </row>
    <row r="12" spans="1:4" x14ac:dyDescent="0.25">
      <c r="A12" t="s">
        <v>130</v>
      </c>
      <c r="B12" t="e" vm="11">
        <v>#VALUE!</v>
      </c>
      <c r="C12" s="1" cm="1">
        <f t="array" aca="1" ref="C12" ca="1">_FV(B12,"Price")</f>
        <v>37.06</v>
      </c>
      <c r="D12" s="2" cm="1">
        <f t="array" aca="1" ref="D12" ca="1">_FV(B12,"Change (%)",TRUE)</f>
        <v>1.2845000000000001E-2</v>
      </c>
    </row>
    <row r="13" spans="1:4" x14ac:dyDescent="0.25">
      <c r="A13" t="s">
        <v>148</v>
      </c>
      <c r="B13" t="e" vm="12">
        <v>#VALUE!</v>
      </c>
      <c r="C13" s="1" cm="1">
        <f t="array" aca="1" ref="C13" ca="1">_FV(B13,"Price")</f>
        <v>45.3</v>
      </c>
      <c r="D13" s="2" cm="1">
        <f t="array" aca="1" ref="D13" ca="1">_FV(B13,"Change (%)",TRUE)</f>
        <v>-1.983E-3</v>
      </c>
    </row>
    <row r="14" spans="1:4" x14ac:dyDescent="0.25">
      <c r="A14" t="s">
        <v>151</v>
      </c>
      <c r="B14" t="e" vm="13">
        <v>#VALUE!</v>
      </c>
      <c r="C14" s="1" cm="1">
        <f t="array" aca="1" ref="C14" ca="1">_FV(B14,"Price")</f>
        <v>61.09</v>
      </c>
      <c r="D14" s="2" cm="1">
        <f t="array" aca="1" ref="D14" ca="1">_FV(B14,"Change (%)",TRUE)</f>
        <v>-2.4490000000000002E-3</v>
      </c>
    </row>
    <row r="15" spans="1:4" x14ac:dyDescent="0.25">
      <c r="A15" t="s">
        <v>196</v>
      </c>
      <c r="B15" t="e" vm="14">
        <v>#VALUE!</v>
      </c>
      <c r="C15" s="1" cm="1">
        <f t="array" aca="1" ref="C15" ca="1">_FV(B15,"Price")</f>
        <v>17.16</v>
      </c>
      <c r="D15" s="2" cm="1">
        <f t="array" aca="1" ref="D15" ca="1">_FV(B15,"Change (%)",TRUE)</f>
        <v>2.3256000000000002E-2</v>
      </c>
    </row>
  </sheetData>
  <conditionalFormatting sqref="D2:D15">
    <cfRule type="cellIs" dxfId="37" priority="1" operator="greaterThan">
      <formula>0</formula>
    </cfRule>
    <cfRule type="cellIs" dxfId="36" priority="2"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5984-6964-4C81-B11E-BBA8AEFED76B}">
  <sheetPr>
    <tabColor rgb="FF92D050"/>
  </sheetPr>
  <dimension ref="A1:D8"/>
  <sheetViews>
    <sheetView workbookViewId="0">
      <selection sqref="A1:XFD1"/>
    </sheetView>
  </sheetViews>
  <sheetFormatPr defaultRowHeight="15" x14ac:dyDescent="0.25"/>
  <cols>
    <col min="2" max="2" width="37.85546875" bestFit="1" customWidth="1"/>
    <col min="3" max="3" width="11.5703125" bestFit="1" customWidth="1"/>
  </cols>
  <sheetData>
    <row r="1" spans="1:4" x14ac:dyDescent="0.25">
      <c r="A1" t="s">
        <v>0</v>
      </c>
      <c r="B1" t="s">
        <v>190</v>
      </c>
      <c r="C1" t="s">
        <v>188</v>
      </c>
      <c r="D1" t="s">
        <v>189</v>
      </c>
    </row>
    <row r="2" spans="1:4" x14ac:dyDescent="0.25">
      <c r="A2" t="s">
        <v>6</v>
      </c>
      <c r="B2" t="e" vm="3">
        <v>#VALUE!</v>
      </c>
      <c r="C2" s="1" cm="1">
        <f t="array" aca="1" ref="C2" ca="1">_FV(B2,"Price")</f>
        <v>428.36</v>
      </c>
      <c r="D2" s="2" cm="1">
        <f t="array" aca="1" ref="D2" ca="1">_FV(B2,"Change (%)",TRUE)</f>
        <v>-4.6690000000000002E-5</v>
      </c>
    </row>
    <row r="3" spans="1:4" x14ac:dyDescent="0.25">
      <c r="A3" t="s">
        <v>5</v>
      </c>
      <c r="B3" t="e" vm="1">
        <v>#VALUE!</v>
      </c>
      <c r="C3" s="1" cm="1">
        <f t="array" aca="1" ref="C3" ca="1">_FV(B3,"Price")</f>
        <v>599.67999999999995</v>
      </c>
      <c r="D3" s="2" cm="1">
        <f t="array" aca="1" ref="D3" ca="1">_FV(B3,"Change (%)",TRUE)</f>
        <v>9.0130000000000006E-4</v>
      </c>
    </row>
    <row r="4" spans="1:4" x14ac:dyDescent="0.25">
      <c r="A4" t="s">
        <v>7</v>
      </c>
      <c r="B4" t="e" vm="15">
        <v>#VALUE!</v>
      </c>
      <c r="C4" s="1" cm="1">
        <f t="array" aca="1" ref="C4" ca="1">_FV(B4,"Price")</f>
        <v>559.85</v>
      </c>
      <c r="D4" s="2" cm="1">
        <f t="array" aca="1" ref="D4" ca="1">_FV(B4,"Change (%)",TRUE)</f>
        <v>2.6690000000000004E-3</v>
      </c>
    </row>
    <row r="5" spans="1:4" x14ac:dyDescent="0.25">
      <c r="A5" t="s">
        <v>2</v>
      </c>
      <c r="B5" t="e" vm="2">
        <v>#VALUE!</v>
      </c>
      <c r="C5" s="1" cm="1">
        <f t="array" aca="1" ref="C5" ca="1">_FV(B5,"Price")</f>
        <v>530.70000000000005</v>
      </c>
      <c r="D5" s="2" cm="1">
        <f t="array" aca="1" ref="D5" ca="1">_FV(B5,"Change (%)",TRUE)</f>
        <v>1.472E-3</v>
      </c>
    </row>
    <row r="6" spans="1:4" x14ac:dyDescent="0.25">
      <c r="A6" t="s">
        <v>1</v>
      </c>
      <c r="B6" t="e" vm="16">
        <v>#VALUE!</v>
      </c>
      <c r="C6" s="1" cm="1">
        <f t="array" aca="1" ref="C6" ca="1">_FV(B6,"Price")</f>
        <v>77.239999999999995</v>
      </c>
      <c r="D6" s="2" cm="1">
        <f t="array" aca="1" ref="D6" ca="1">_FV(B6,"Change (%)",TRUE)</f>
        <v>4.1599999999999996E-3</v>
      </c>
    </row>
    <row r="7" spans="1:4" x14ac:dyDescent="0.25">
      <c r="A7" t="s">
        <v>3</v>
      </c>
      <c r="B7" t="e" vm="4">
        <v>#VALUE!</v>
      </c>
      <c r="C7" s="1" cm="1">
        <f t="array" aca="1" ref="C7" ca="1">_FV(B7,"Price")</f>
        <v>213.36</v>
      </c>
      <c r="D7" s="2" cm="1">
        <f t="array" aca="1" ref="D7" ca="1">_FV(B7,"Change (%)",TRUE)</f>
        <v>6.8899999999999994E-3</v>
      </c>
    </row>
    <row r="8" spans="1:4" x14ac:dyDescent="0.25">
      <c r="A8" t="s">
        <v>4</v>
      </c>
      <c r="B8" t="e" vm="17">
        <v>#VALUE!</v>
      </c>
      <c r="C8" s="1" cm="1">
        <f t="array" aca="1" ref="C8" ca="1">_FV(B8,"Price")</f>
        <v>126.44</v>
      </c>
      <c r="D8" s="2" cm="1">
        <f t="array" aca="1" ref="D8" ca="1">_FV(B8,"Change (%)",TRUE)</f>
        <v>7.8759999999999993E-3</v>
      </c>
    </row>
  </sheetData>
  <autoFilter ref="A1:D1" xr:uid="{D4CF5984-6964-4C81-B11E-BBA8AEFED76B}">
    <sortState xmlns:xlrd2="http://schemas.microsoft.com/office/spreadsheetml/2017/richdata2" ref="A2:D8">
      <sortCondition descending="1" ref="D1"/>
    </sortState>
  </autoFilter>
  <conditionalFormatting sqref="D2:D8">
    <cfRule type="cellIs" dxfId="35" priority="1" operator="greaterThan">
      <formula>0</formula>
    </cfRule>
    <cfRule type="cellIs" dxfId="34" priority="2"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B5253-6835-43BD-8A90-A41DD21D53D2}">
  <sheetPr>
    <tabColor rgb="FF92D050"/>
  </sheetPr>
  <dimension ref="A1:D12"/>
  <sheetViews>
    <sheetView workbookViewId="0">
      <selection activeCell="A6" sqref="A6:XFD6"/>
    </sheetView>
  </sheetViews>
  <sheetFormatPr defaultRowHeight="15" x14ac:dyDescent="0.25"/>
  <cols>
    <col min="2" max="2" width="37.28515625" bestFit="1" customWidth="1"/>
  </cols>
  <sheetData>
    <row r="1" spans="1:4" x14ac:dyDescent="0.25">
      <c r="A1" t="s">
        <v>0</v>
      </c>
      <c r="B1" t="s">
        <v>190</v>
      </c>
      <c r="C1" t="s">
        <v>188</v>
      </c>
      <c r="D1" t="s">
        <v>189</v>
      </c>
    </row>
    <row r="2" spans="1:4" x14ac:dyDescent="0.25">
      <c r="A2" t="s">
        <v>8</v>
      </c>
      <c r="B2" t="e" vm="18">
        <v>#VALUE!</v>
      </c>
      <c r="C2" s="1" cm="1">
        <f t="array" aca="1" ref="C2" ca="1">_FV(B2,"Price")</f>
        <v>239.53</v>
      </c>
      <c r="D2" s="2" cm="1">
        <f t="array" aca="1" ref="D2" ca="1">_FV(B2,"Change (%)",TRUE)</f>
        <v>4.9090000000000002E-3</v>
      </c>
    </row>
    <row r="3" spans="1:4" x14ac:dyDescent="0.25">
      <c r="A3" t="s">
        <v>18</v>
      </c>
      <c r="B3" t="e" vm="19">
        <v>#VALUE!</v>
      </c>
      <c r="C3" s="1" cm="1">
        <f t="array" aca="1" ref="C3" ca="1">_FV(B3,"Price")</f>
        <v>144.80000000000001</v>
      </c>
      <c r="D3" s="2" cm="1">
        <f t="array" aca="1" ref="D3" ca="1">_FV(B3,"Change (%)",TRUE)</f>
        <v>-8.9700000000000001E-4</v>
      </c>
    </row>
    <row r="4" spans="1:4" x14ac:dyDescent="0.25">
      <c r="A4" t="s">
        <v>16</v>
      </c>
      <c r="B4" t="e" vm="20">
        <v>#VALUE!</v>
      </c>
      <c r="C4" s="1" cm="1">
        <f t="array" aca="1" ref="C4" ca="1">_FV(B4,"Price")</f>
        <v>88.37</v>
      </c>
      <c r="D4" s="2" cm="1">
        <f t="array" aca="1" ref="D4" ca="1">_FV(B4,"Change (%)",TRUE)</f>
        <v>6.7210000000000004E-3</v>
      </c>
    </row>
    <row r="5" spans="1:4" x14ac:dyDescent="0.25">
      <c r="A5" t="s">
        <v>14</v>
      </c>
      <c r="B5" t="e" vm="21">
        <v>#VALUE!</v>
      </c>
      <c r="C5" s="1" cm="1">
        <f t="array" aca="1" ref="C5" ca="1">_FV(B5,"Price")</f>
        <v>103.41</v>
      </c>
      <c r="D5" s="2" cm="1">
        <f t="array" aca="1" ref="D5" ca="1">_FV(B5,"Change (%)",TRUE)</f>
        <v>-2.8930000000000002E-3</v>
      </c>
    </row>
    <row r="6" spans="1:4" x14ac:dyDescent="0.25">
      <c r="A6" t="s">
        <v>17</v>
      </c>
      <c r="B6" t="e" vm="22">
        <v>#VALUE!</v>
      </c>
      <c r="C6" s="1" cm="1">
        <f t="array" aca="1" ref="C6" ca="1">_FV(B6,"Price")</f>
        <v>213.87</v>
      </c>
      <c r="D6" s="2" cm="1">
        <f t="array" aca="1" ref="D6" ca="1">_FV(B6,"Change (%)",TRUE)</f>
        <v>8.012E-3</v>
      </c>
    </row>
    <row r="7" spans="1:4" x14ac:dyDescent="0.25">
      <c r="A7" t="s">
        <v>13</v>
      </c>
      <c r="B7" t="e" vm="23">
        <v>#VALUE!</v>
      </c>
      <c r="C7" s="1" cm="1">
        <f t="array" aca="1" ref="C7" ca="1">_FV(B7,"Price")</f>
        <v>83.57</v>
      </c>
      <c r="D7" s="2" cm="1">
        <f t="array" aca="1" ref="D7" ca="1">_FV(B7,"Change (%)",TRUE)</f>
        <v>1.918E-3</v>
      </c>
    </row>
    <row r="8" spans="1:4" x14ac:dyDescent="0.25">
      <c r="A8" t="s">
        <v>10</v>
      </c>
      <c r="B8" t="e" vm="24">
        <v>#VALUE!</v>
      </c>
      <c r="C8" s="1" cm="1">
        <f t="array" aca="1" ref="C8" ca="1">_FV(B8,"Price")</f>
        <v>134.15</v>
      </c>
      <c r="D8" s="2" cm="1">
        <f t="array" aca="1" ref="D8" ca="1">_FV(B8,"Change (%)",TRUE)</f>
        <v>-1.712E-3</v>
      </c>
    </row>
    <row r="9" spans="1:4" x14ac:dyDescent="0.25">
      <c r="A9" t="s">
        <v>11</v>
      </c>
      <c r="B9" t="e" vm="25">
        <v>#VALUE!</v>
      </c>
      <c r="C9" s="1" cm="1">
        <f t="array" aca="1" ref="C9" ca="1">_FV(B9,"Price")</f>
        <v>51</v>
      </c>
      <c r="D9" s="2" cm="1">
        <f t="array" aca="1" ref="D9" ca="1">_FV(B9,"Change (%)",TRUE)</f>
        <v>-5.4600000000000004E-3</v>
      </c>
    </row>
    <row r="10" spans="1:4" x14ac:dyDescent="0.25">
      <c r="A10" t="s">
        <v>9</v>
      </c>
      <c r="B10" t="e" vm="26">
        <v>#VALUE!</v>
      </c>
      <c r="C10" s="1" cm="1">
        <f t="array" aca="1" ref="C10" ca="1">_FV(B10,"Price")</f>
        <v>41.86</v>
      </c>
      <c r="D10" s="2" cm="1">
        <f t="array" aca="1" ref="D10" ca="1">_FV(B10,"Change (%)",TRUE)</f>
        <v>-4.7759999999999995E-4</v>
      </c>
    </row>
    <row r="11" spans="1:4" x14ac:dyDescent="0.25">
      <c r="A11" t="s">
        <v>12</v>
      </c>
      <c r="B11" t="e" vm="27">
        <v>#VALUE!</v>
      </c>
      <c r="C11" s="1" cm="1">
        <f t="array" aca="1" ref="C11" ca="1">_FV(B11,"Price")</f>
        <v>80.67</v>
      </c>
      <c r="D11" s="2" cm="1">
        <f t="array" aca="1" ref="D11" ca="1">_FV(B11,"Change (%)",TRUE)</f>
        <v>-6.4049999999999992E-3</v>
      </c>
    </row>
    <row r="12" spans="1:4" x14ac:dyDescent="0.25">
      <c r="A12" t="s">
        <v>15</v>
      </c>
      <c r="B12" t="e" vm="28">
        <v>#VALUE!</v>
      </c>
      <c r="C12" s="1" cm="1">
        <f t="array" aca="1" ref="C12" ca="1">_FV(B12,"Price")</f>
        <v>81.58</v>
      </c>
      <c r="D12" s="2" cm="1">
        <f t="array" aca="1" ref="D12" ca="1">_FV(B12,"Change (%)",TRUE)</f>
        <v>-1.3469999999999999E-3</v>
      </c>
    </row>
  </sheetData>
  <autoFilter ref="A1:D1" xr:uid="{4ECB5253-6835-43BD-8A90-A41DD21D53D2}">
    <sortState xmlns:xlrd2="http://schemas.microsoft.com/office/spreadsheetml/2017/richdata2" ref="A2:D12">
      <sortCondition descending="1" ref="D1"/>
    </sortState>
  </autoFilter>
  <conditionalFormatting sqref="D2:D12">
    <cfRule type="cellIs" dxfId="33" priority="1" operator="greaterThan">
      <formula>0</formula>
    </cfRule>
    <cfRule type="cellIs" dxfId="32" priority="2"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87D3D-2ED3-4447-8941-183FC53E84C1}">
  <dimension ref="A1:D35"/>
  <sheetViews>
    <sheetView tabSelected="1" workbookViewId="0">
      <selection activeCell="A2" sqref="A2:A8"/>
    </sheetView>
  </sheetViews>
  <sheetFormatPr defaultRowHeight="15" x14ac:dyDescent="0.25"/>
  <cols>
    <col min="2" max="2" width="40.28515625" bestFit="1" customWidth="1"/>
  </cols>
  <sheetData>
    <row r="1" spans="1:4" x14ac:dyDescent="0.25">
      <c r="A1" t="s">
        <v>0</v>
      </c>
      <c r="B1" t="s">
        <v>190</v>
      </c>
      <c r="C1" t="s">
        <v>188</v>
      </c>
      <c r="D1" t="s">
        <v>189</v>
      </c>
    </row>
    <row r="2" spans="1:4" x14ac:dyDescent="0.25">
      <c r="A2" t="s">
        <v>21</v>
      </c>
      <c r="B2" t="e" vm="29">
        <v>#VALUE!</v>
      </c>
      <c r="C2" s="1" cm="1">
        <f t="array" aca="1" ref="C2" ca="1">_FV(B2,"Price")</f>
        <v>19.420000000000002</v>
      </c>
      <c r="D2" s="2" cm="1">
        <f t="array" aca="1" ref="D2" ca="1">_FV(B2,"Change (%)",TRUE)</f>
        <v>3.8502999999999996E-2</v>
      </c>
    </row>
    <row r="3" spans="1:4" x14ac:dyDescent="0.25">
      <c r="A3" t="s">
        <v>22</v>
      </c>
      <c r="B3" t="e" vm="30">
        <v>#VALUE!</v>
      </c>
      <c r="C3" s="1" cm="1">
        <f t="array" aca="1" ref="C3" ca="1">_FV(B3,"Price")</f>
        <v>50.32</v>
      </c>
      <c r="D3" s="2" cm="1">
        <f t="array" aca="1" ref="D3" ca="1">_FV(B3,"Change (%)",TRUE)</f>
        <v>2.0276000000000002E-2</v>
      </c>
    </row>
    <row r="4" spans="1:4" x14ac:dyDescent="0.25">
      <c r="A4" t="s">
        <v>25</v>
      </c>
      <c r="B4" t="e" vm="31">
        <v>#VALUE!</v>
      </c>
      <c r="C4" s="1" cm="1">
        <f t="array" aca="1" ref="C4" ca="1">_FV(B4,"Price")</f>
        <v>256.95999999999998</v>
      </c>
      <c r="D4" s="2" cm="1">
        <f t="array" aca="1" ref="D4" ca="1">_FV(B4,"Change (%)",TRUE)</f>
        <v>1.6736999999999998E-2</v>
      </c>
    </row>
    <row r="5" spans="1:4" x14ac:dyDescent="0.25">
      <c r="A5" t="s">
        <v>30</v>
      </c>
      <c r="B5" t="e" vm="32">
        <v>#VALUE!</v>
      </c>
      <c r="C5" s="1" cm="1">
        <f t="array" aca="1" ref="C5" ca="1">_FV(B5,"Price")</f>
        <v>233.5</v>
      </c>
      <c r="D5" s="2" cm="1">
        <f t="array" aca="1" ref="D5" ca="1">_FV(B5,"Change (%)",TRUE)</f>
        <v>1.5747000000000001E-2</v>
      </c>
    </row>
    <row r="6" spans="1:4" x14ac:dyDescent="0.25">
      <c r="A6" t="s">
        <v>202</v>
      </c>
      <c r="B6" t="e" vm="33">
        <v>#VALUE!</v>
      </c>
      <c r="C6" s="1" cm="1">
        <f t="array" aca="1" ref="C6" ca="1">_FV(B6,"Price")</f>
        <v>53.22</v>
      </c>
      <c r="D6" s="2" cm="1">
        <f t="array" aca="1" ref="D6" ca="1">_FV(B6,"Change (%)",TRUE)</f>
        <v>1.5068E-2</v>
      </c>
    </row>
    <row r="7" spans="1:4" x14ac:dyDescent="0.25">
      <c r="A7" t="s">
        <v>48</v>
      </c>
      <c r="B7" t="e" vm="34">
        <v>#VALUE!</v>
      </c>
      <c r="C7" s="1" cm="1">
        <f t="array" aca="1" ref="C7" ca="1">_FV(B7,"Price")</f>
        <v>96.21</v>
      </c>
      <c r="D7" s="2" cm="1">
        <f t="array" aca="1" ref="D7" ca="1">_FV(B7,"Change (%)",TRUE)</f>
        <v>1.1353E-2</v>
      </c>
    </row>
    <row r="8" spans="1:4" x14ac:dyDescent="0.25">
      <c r="A8" t="s">
        <v>201</v>
      </c>
      <c r="B8" t="e" vm="35">
        <v>#VALUE!</v>
      </c>
      <c r="C8" s="1" cm="1">
        <f t="array" aca="1" ref="C8" ca="1">_FV(B8,"Price")</f>
        <v>89.12</v>
      </c>
      <c r="D8" s="2" cm="1">
        <f t="array" aca="1" ref="D8" ca="1">_FV(B8,"Change (%)",TRUE)</f>
        <v>1.0086999999999999E-2</v>
      </c>
    </row>
    <row r="9" spans="1:4" x14ac:dyDescent="0.25">
      <c r="A9" t="s">
        <v>20</v>
      </c>
      <c r="B9" t="e" vm="36">
        <v>#VALUE!</v>
      </c>
      <c r="C9" s="1" cm="1">
        <f t="array" aca="1" ref="C9" ca="1">_FV(B9,"Price")</f>
        <v>52.13</v>
      </c>
      <c r="D9" s="2" cm="1">
        <f t="array" aca="1" ref="D9" ca="1">_FV(B9,"Change (%)",TRUE)</f>
        <v>9.8799999999999999E-3</v>
      </c>
    </row>
    <row r="10" spans="1:4" x14ac:dyDescent="0.25">
      <c r="A10" t="s">
        <v>40</v>
      </c>
      <c r="B10" t="e" vm="37">
        <v>#VALUE!</v>
      </c>
      <c r="C10" s="1" cm="1">
        <f t="array" aca="1" ref="C10" ca="1">_FV(B10,"Price")</f>
        <v>124.27</v>
      </c>
      <c r="D10" s="2" cm="1">
        <f t="array" aca="1" ref="D10" ca="1">_FV(B10,"Change (%)",TRUE)</f>
        <v>8.4399999999999996E-3</v>
      </c>
    </row>
    <row r="11" spans="1:4" x14ac:dyDescent="0.25">
      <c r="A11" t="s">
        <v>49</v>
      </c>
      <c r="B11" t="e" vm="38">
        <v>#VALUE!</v>
      </c>
      <c r="C11" s="1" cm="1">
        <f t="array" aca="1" ref="C11" ca="1">_FV(B11,"Price")</f>
        <v>67.05</v>
      </c>
      <c r="D11" s="2" cm="1">
        <f t="array" aca="1" ref="D11" ca="1">_FV(B11,"Change (%)",TRUE)</f>
        <v>8.4219999999999989E-3</v>
      </c>
    </row>
    <row r="12" spans="1:4" x14ac:dyDescent="0.25">
      <c r="A12" t="s">
        <v>39</v>
      </c>
      <c r="B12" t="e" vm="39">
        <v>#VALUE!</v>
      </c>
      <c r="C12" s="1" cm="1">
        <f t="array" aca="1" ref="C12" ca="1">_FV(B12,"Price")</f>
        <v>139.13999999999999</v>
      </c>
      <c r="D12" s="2" cm="1">
        <f t="array" aca="1" ref="D12" ca="1">_FV(B12,"Change (%)",TRUE)</f>
        <v>7.3850000000000001E-3</v>
      </c>
    </row>
    <row r="13" spans="1:4" x14ac:dyDescent="0.25">
      <c r="A13" t="s">
        <v>43</v>
      </c>
      <c r="B13" t="e" vm="40">
        <v>#VALUE!</v>
      </c>
      <c r="C13" s="1" cm="1">
        <f t="array" aca="1" ref="C13" ca="1">_FV(B13,"Price")</f>
        <v>82.092799999999997</v>
      </c>
      <c r="D13" s="2" cm="1">
        <f t="array" aca="1" ref="D13" ca="1">_FV(B13,"Change (%)",TRUE)</f>
        <v>6.4139999999999996E-3</v>
      </c>
    </row>
    <row r="14" spans="1:4" x14ac:dyDescent="0.25">
      <c r="A14" t="s">
        <v>45</v>
      </c>
      <c r="B14" t="e" vm="41">
        <v>#VALUE!</v>
      </c>
      <c r="C14" s="1" cm="1">
        <f t="array" aca="1" ref="C14" ca="1">_FV(B14,"Price")</f>
        <v>21.4451</v>
      </c>
      <c r="D14" s="2" cm="1">
        <f t="array" aca="1" ref="D14" ca="1">_FV(B14,"Change (%)",TRUE)</f>
        <v>6.3400000000000001E-3</v>
      </c>
    </row>
    <row r="15" spans="1:4" x14ac:dyDescent="0.25">
      <c r="A15" t="s">
        <v>31</v>
      </c>
      <c r="B15" t="e" vm="42">
        <v>#VALUE!</v>
      </c>
      <c r="C15" s="1" cm="1">
        <f t="array" aca="1" ref="C15" ca="1">_FV(B15,"Price")</f>
        <v>78.790000000000006</v>
      </c>
      <c r="D15" s="2" cm="1">
        <f t="array" aca="1" ref="D15" ca="1">_FV(B15,"Change (%)",TRUE)</f>
        <v>5.8730000000000006E-3</v>
      </c>
    </row>
    <row r="16" spans="1:4" x14ac:dyDescent="0.25">
      <c r="A16" t="s">
        <v>37</v>
      </c>
      <c r="B16" t="e" vm="43">
        <v>#VALUE!</v>
      </c>
      <c r="C16" s="1" cm="1">
        <f t="array" aca="1" ref="C16" ca="1">_FV(B16,"Price")</f>
        <v>33.78</v>
      </c>
      <c r="D16" s="2" cm="1">
        <f t="array" aca="1" ref="D16" ca="1">_FV(B16,"Change (%)",TRUE)</f>
        <v>5.6559999999999996E-3</v>
      </c>
    </row>
    <row r="17" spans="1:4" x14ac:dyDescent="0.25">
      <c r="A17" t="s">
        <v>34</v>
      </c>
      <c r="B17" t="e" vm="44">
        <v>#VALUE!</v>
      </c>
      <c r="C17" s="1" cm="1">
        <f t="array" aca="1" ref="C17" ca="1">_FV(B17,"Price")</f>
        <v>58.31</v>
      </c>
      <c r="D17" s="2" cm="1">
        <f t="array" aca="1" ref="D17" ca="1">_FV(B17,"Change (%)",TRUE)</f>
        <v>4.9979999999999998E-3</v>
      </c>
    </row>
    <row r="18" spans="1:4" x14ac:dyDescent="0.25">
      <c r="A18" t="s">
        <v>29</v>
      </c>
      <c r="B18" t="e" vm="45">
        <v>#VALUE!</v>
      </c>
      <c r="C18" s="1" cm="1">
        <f t="array" aca="1" ref="C18" ca="1">_FV(B18,"Price")</f>
        <v>127.59</v>
      </c>
      <c r="D18" s="2" cm="1">
        <f t="array" aca="1" ref="D18" ca="1">_FV(B18,"Change (%)",TRUE)</f>
        <v>4.9619999999999994E-3</v>
      </c>
    </row>
    <row r="19" spans="1:4" x14ac:dyDescent="0.25">
      <c r="A19" t="s">
        <v>24</v>
      </c>
      <c r="B19" t="e" vm="46">
        <v>#VALUE!</v>
      </c>
      <c r="C19" s="1" cm="1">
        <f t="array" aca="1" ref="C19" ca="1">_FV(B19,"Price")</f>
        <v>57.53</v>
      </c>
      <c r="D19" s="2" cm="1">
        <f t="array" aca="1" ref="D19" ca="1">_FV(B19,"Change (%)",TRUE)</f>
        <v>4.8729999999999997E-3</v>
      </c>
    </row>
    <row r="20" spans="1:4" x14ac:dyDescent="0.25">
      <c r="A20" t="s">
        <v>38</v>
      </c>
      <c r="B20" t="e" vm="47">
        <v>#VALUE!</v>
      </c>
      <c r="C20" s="1" cm="1">
        <f t="array" aca="1" ref="C20" ca="1">_FV(B20,"Price")</f>
        <v>54.36</v>
      </c>
      <c r="D20" s="2" cm="1">
        <f t="array" aca="1" ref="D20" ca="1">_FV(B20,"Change (%)",TRUE)</f>
        <v>4.62E-3</v>
      </c>
    </row>
    <row r="21" spans="1:4" x14ac:dyDescent="0.25">
      <c r="A21" t="s">
        <v>46</v>
      </c>
      <c r="B21" t="e" vm="48">
        <v>#VALUE!</v>
      </c>
      <c r="C21" s="1" cm="1">
        <f t="array" aca="1" ref="C21" ca="1">_FV(B21,"Price")</f>
        <v>182.75</v>
      </c>
      <c r="D21" s="2" cm="1">
        <f t="array" aca="1" ref="D21" ca="1">_FV(B21,"Change (%)",TRUE)</f>
        <v>4.3419999999999995E-3</v>
      </c>
    </row>
    <row r="22" spans="1:4" x14ac:dyDescent="0.25">
      <c r="A22" t="s">
        <v>33</v>
      </c>
      <c r="B22" t="e" vm="49">
        <v>#VALUE!</v>
      </c>
      <c r="C22" s="1" cm="1">
        <f t="array" aca="1" ref="C22" ca="1">_FV(B22,"Price")</f>
        <v>23.32</v>
      </c>
      <c r="D22" s="2" cm="1">
        <f t="array" aca="1" ref="D22" ca="1">_FV(B22,"Change (%)",TRUE)</f>
        <v>3.0109999999999998E-3</v>
      </c>
    </row>
    <row r="23" spans="1:4" x14ac:dyDescent="0.25">
      <c r="A23" t="s">
        <v>27</v>
      </c>
      <c r="B23" t="e" vm="50">
        <v>#VALUE!</v>
      </c>
      <c r="C23" s="1" cm="1">
        <f t="array" aca="1" ref="C23" ca="1">_FV(B23,"Price")</f>
        <v>187.15</v>
      </c>
      <c r="D23" s="2" cm="1">
        <f t="array" aca="1" ref="D23" ca="1">_FV(B23,"Change (%)",TRUE)</f>
        <v>6.4159999999999998E-4</v>
      </c>
    </row>
    <row r="24" spans="1:4" x14ac:dyDescent="0.25">
      <c r="A24" t="s">
        <v>44</v>
      </c>
      <c r="B24" t="e" vm="51">
        <v>#VALUE!</v>
      </c>
      <c r="C24" s="1" cm="1">
        <f t="array" aca="1" ref="C24" ca="1">_FV(B24,"Price")</f>
        <v>48.57</v>
      </c>
      <c r="D24" s="2" cm="1">
        <f t="array" aca="1" ref="D24" ca="1">_FV(B24,"Change (%)",TRUE)</f>
        <v>2.0590000000000002E-4</v>
      </c>
    </row>
    <row r="25" spans="1:4" x14ac:dyDescent="0.25">
      <c r="A25" t="s">
        <v>42</v>
      </c>
      <c r="B25" t="e" vm="52">
        <v>#VALUE!</v>
      </c>
      <c r="C25" s="1" cm="1">
        <f t="array" aca="1" ref="C25" ca="1">_FV(B25,"Price")</f>
        <v>31.4</v>
      </c>
      <c r="D25" s="2" cm="1">
        <f t="array" aca="1" ref="D25" ca="1">_FV(B25,"Change (%)",TRUE)</f>
        <v>0</v>
      </c>
    </row>
    <row r="26" spans="1:4" x14ac:dyDescent="0.25">
      <c r="A26" t="s">
        <v>32</v>
      </c>
      <c r="B26" t="e" vm="53">
        <v>#VALUE!</v>
      </c>
      <c r="C26" s="1" cm="1">
        <f t="array" aca="1" ref="C26" ca="1">_FV(B26,"Price")</f>
        <v>260.42</v>
      </c>
      <c r="D26" s="2" cm="1">
        <f t="array" aca="1" ref="D26" ca="1">_FV(B26,"Change (%)",TRUE)</f>
        <v>-1.495E-3</v>
      </c>
    </row>
    <row r="27" spans="1:4" x14ac:dyDescent="0.25">
      <c r="A27" t="s">
        <v>47</v>
      </c>
      <c r="B27" t="e" vm="54">
        <v>#VALUE!</v>
      </c>
      <c r="C27" s="1" cm="1">
        <f t="array" aca="1" ref="C27" ca="1">_FV(B27,"Price")</f>
        <v>54.39</v>
      </c>
      <c r="D27" s="2" cm="1">
        <f t="array" aca="1" ref="D27" ca="1">_FV(B27,"Change (%)",TRUE)</f>
        <v>-2.0180000000000003E-3</v>
      </c>
    </row>
    <row r="28" spans="1:4" x14ac:dyDescent="0.25">
      <c r="A28" t="s">
        <v>23</v>
      </c>
      <c r="B28" t="e" vm="55">
        <v>#VALUE!</v>
      </c>
      <c r="C28" s="1" cm="1">
        <f t="array" aca="1" ref="C28" ca="1">_FV(B28,"Price")</f>
        <v>118.72</v>
      </c>
      <c r="D28" s="2" cm="1">
        <f t="array" aca="1" ref="D28" ca="1">_FV(B28,"Change (%)",TRUE)</f>
        <v>-2.6879999999999999E-3</v>
      </c>
    </row>
    <row r="29" spans="1:4" x14ac:dyDescent="0.25">
      <c r="A29" t="s">
        <v>50</v>
      </c>
      <c r="B29" t="e" vm="56">
        <v>#VALUE!</v>
      </c>
      <c r="C29" s="1" cm="1">
        <f t="array" aca="1" ref="C29" ca="1">_FV(B29,"Price")</f>
        <v>47.5246</v>
      </c>
      <c r="D29" s="2" cm="1">
        <f t="array" aca="1" ref="D29" ca="1">_FV(B29,"Change (%)",TRUE)</f>
        <v>-3.0499999999999998E-3</v>
      </c>
    </row>
    <row r="30" spans="1:4" x14ac:dyDescent="0.25">
      <c r="A30" t="s">
        <v>19</v>
      </c>
      <c r="B30" t="e" vm="57">
        <v>#VALUE!</v>
      </c>
      <c r="C30" s="1" cm="1">
        <f t="array" aca="1" ref="C30" ca="1">_FV(B30,"Price")</f>
        <v>104.66</v>
      </c>
      <c r="D30" s="2" cm="1">
        <f t="array" aca="1" ref="D30" ca="1">_FV(B30,"Change (%)",TRUE)</f>
        <v>-3.7130000000000002E-3</v>
      </c>
    </row>
    <row r="31" spans="1:4" x14ac:dyDescent="0.25">
      <c r="A31" t="s">
        <v>36</v>
      </c>
      <c r="B31" t="e" vm="58">
        <v>#VALUE!</v>
      </c>
      <c r="C31" s="1" cm="1">
        <f t="array" aca="1" ref="C31" ca="1">_FV(B31,"Price")</f>
        <v>47.77</v>
      </c>
      <c r="D31" s="2" cm="1">
        <f t="array" aca="1" ref="D31" ca="1">_FV(B31,"Change (%)",TRUE)</f>
        <v>-4.3769999999999998E-3</v>
      </c>
    </row>
    <row r="32" spans="1:4" x14ac:dyDescent="0.25">
      <c r="A32" t="s">
        <v>28</v>
      </c>
      <c r="B32" t="e" vm="59">
        <v>#VALUE!</v>
      </c>
      <c r="C32" s="1" cm="1">
        <f t="array" aca="1" ref="C32" ca="1">_FV(B32,"Price")</f>
        <v>156.29</v>
      </c>
      <c r="D32" s="2" cm="1">
        <f t="array" aca="1" ref="D32" ca="1">_FV(B32,"Change (%)",TRUE)</f>
        <v>-5.4090000000000006E-3</v>
      </c>
    </row>
    <row r="33" spans="1:4" x14ac:dyDescent="0.25">
      <c r="A33" t="s">
        <v>35</v>
      </c>
      <c r="B33" t="e" vm="60">
        <v>#VALUE!</v>
      </c>
      <c r="C33" s="1" cm="1">
        <f t="array" aca="1" ref="C33" ca="1">_FV(B33,"Price")</f>
        <v>61.29</v>
      </c>
      <c r="D33" s="2" cm="1">
        <f t="array" aca="1" ref="D33" ca="1">_FV(B33,"Change (%)",TRUE)</f>
        <v>-1.2725999999999999E-2</v>
      </c>
    </row>
    <row r="34" spans="1:4" x14ac:dyDescent="0.25">
      <c r="A34" t="s">
        <v>41</v>
      </c>
      <c r="B34" t="e" vm="61">
        <v>#VALUE!</v>
      </c>
      <c r="C34" s="1" cm="1">
        <f t="array" aca="1" ref="C34" ca="1">_FV(B34,"Price")</f>
        <v>58.56</v>
      </c>
      <c r="D34" s="2" cm="1">
        <f t="array" aca="1" ref="D34" ca="1">_FV(B34,"Change (%)",TRUE)</f>
        <v>-1.6129000000000001E-2</v>
      </c>
    </row>
    <row r="35" spans="1:4" x14ac:dyDescent="0.25">
      <c r="A35" t="s">
        <v>26</v>
      </c>
      <c r="B35" t="e" vm="62">
        <v>#VALUE!</v>
      </c>
      <c r="C35" s="1" cm="1">
        <f t="array" aca="1" ref="C35" ca="1">_FV(B35,"Price")</f>
        <v>2.31</v>
      </c>
      <c r="D35" s="2" cm="1">
        <f t="array" aca="1" ref="D35" ca="1">_FV(B35,"Change (%)",TRUE)</f>
        <v>-2.5316000000000002E-2</v>
      </c>
    </row>
  </sheetData>
  <autoFilter ref="A1:D1" xr:uid="{14A87D3D-2ED3-4447-8941-183FC53E84C1}">
    <sortState xmlns:xlrd2="http://schemas.microsoft.com/office/spreadsheetml/2017/richdata2" ref="A2:D35">
      <sortCondition descending="1" ref="D1"/>
    </sortState>
  </autoFilter>
  <conditionalFormatting sqref="D2:D35">
    <cfRule type="cellIs" dxfId="31" priority="1" operator="greaterThan">
      <formula>0</formula>
    </cfRule>
    <cfRule type="cellIs" dxfId="30" priority="2" operator="less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A96A-81D6-4BE2-9770-0BD4A66A1284}">
  <dimension ref="A1:D20"/>
  <sheetViews>
    <sheetView workbookViewId="0">
      <selection sqref="A1:XFD1"/>
    </sheetView>
  </sheetViews>
  <sheetFormatPr defaultRowHeight="15" x14ac:dyDescent="0.25"/>
  <cols>
    <col min="2" max="2" width="37.5703125" bestFit="1" customWidth="1"/>
  </cols>
  <sheetData>
    <row r="1" spans="1:4" x14ac:dyDescent="0.25">
      <c r="A1" t="s">
        <v>0</v>
      </c>
      <c r="B1" t="s">
        <v>190</v>
      </c>
      <c r="C1" t="s">
        <v>188</v>
      </c>
      <c r="D1" t="s">
        <v>189</v>
      </c>
    </row>
    <row r="2" spans="1:4" x14ac:dyDescent="0.25">
      <c r="A2" t="s">
        <v>52</v>
      </c>
      <c r="B2" t="e" vm="63">
        <v>#VALUE!</v>
      </c>
      <c r="C2" s="1" cm="1">
        <f t="array" aca="1" ref="C2" ca="1">_FV(B2,"Price")</f>
        <v>92.29</v>
      </c>
      <c r="D2" s="2" cm="1">
        <f t="array" aca="1" ref="D2" ca="1">_FV(B2,"Change (%)",TRUE)</f>
        <v>8.744E-3</v>
      </c>
    </row>
    <row r="3" spans="1:4" x14ac:dyDescent="0.25">
      <c r="A3" t="s">
        <v>56</v>
      </c>
      <c r="B3" t="e" vm="64">
        <v>#VALUE!</v>
      </c>
      <c r="C3" s="1" cm="1">
        <f t="array" aca="1" ref="C3" ca="1">_FV(B3,"Price")</f>
        <v>42.57</v>
      </c>
      <c r="D3" s="2" cm="1">
        <f t="array" aca="1" ref="D3" ca="1">_FV(B3,"Change (%)",TRUE)</f>
        <v>2.1190000000000002E-3</v>
      </c>
    </row>
    <row r="4" spans="1:4" x14ac:dyDescent="0.25">
      <c r="A4" t="s">
        <v>59</v>
      </c>
      <c r="B4" t="e" vm="65">
        <v>#VALUE!</v>
      </c>
      <c r="C4" s="1" cm="1">
        <f t="array" aca="1" ref="C4" ca="1">_FV(B4,"Price")</f>
        <v>47.46</v>
      </c>
      <c r="D4" s="2" cm="1">
        <f t="array" aca="1" ref="D4" ca="1">_FV(B4,"Change (%)",TRUE)</f>
        <v>1.688E-3</v>
      </c>
    </row>
    <row r="5" spans="1:4" x14ac:dyDescent="0.25">
      <c r="A5" t="s">
        <v>64</v>
      </c>
      <c r="B5" t="e" vm="66">
        <v>#VALUE!</v>
      </c>
      <c r="C5" s="1" cm="1">
        <f t="array" aca="1" ref="C5" ca="1">_FV(B5,"Price")</f>
        <v>91.36</v>
      </c>
      <c r="D5" s="2" cm="1">
        <f t="array" aca="1" ref="D5" ca="1">_FV(B5,"Change (%)",TRUE)</f>
        <v>1.645E-3</v>
      </c>
    </row>
    <row r="6" spans="1:4" x14ac:dyDescent="0.25">
      <c r="A6" t="s">
        <v>55</v>
      </c>
      <c r="B6" t="e" vm="67">
        <v>#VALUE!</v>
      </c>
      <c r="C6" s="1" cm="1">
        <f t="array" aca="1" ref="C6" ca="1">_FV(B6,"Price")</f>
        <v>104.04</v>
      </c>
      <c r="D6" s="2" cm="1">
        <f t="array" aca="1" ref="D6" ca="1">_FV(B6,"Change (%)",TRUE)</f>
        <v>1.155E-3</v>
      </c>
    </row>
    <row r="7" spans="1:4" x14ac:dyDescent="0.25">
      <c r="A7" t="s">
        <v>60</v>
      </c>
      <c r="B7" t="e" vm="68">
        <v>#VALUE!</v>
      </c>
      <c r="C7" s="1" cm="1">
        <f t="array" aca="1" ref="C7" ca="1">_FV(B7,"Price")</f>
        <v>51.44</v>
      </c>
      <c r="D7" s="2" cm="1">
        <f t="array" aca="1" ref="D7" ca="1">_FV(B7,"Change (%)",TRUE)</f>
        <v>9.7300000000000002E-4</v>
      </c>
    </row>
    <row r="8" spans="1:4" x14ac:dyDescent="0.25">
      <c r="A8" t="s">
        <v>5</v>
      </c>
      <c r="B8" t="e" vm="1">
        <v>#VALUE!</v>
      </c>
      <c r="C8" s="1" cm="1">
        <f t="array" aca="1" ref="C8" ca="1">_FV(B8,"Price")</f>
        <v>599.67999999999995</v>
      </c>
      <c r="D8" s="2" cm="1">
        <f t="array" aca="1" ref="D8" ca="1">_FV(B8,"Change (%)",TRUE)</f>
        <v>9.0130000000000006E-4</v>
      </c>
    </row>
    <row r="9" spans="1:4" x14ac:dyDescent="0.25">
      <c r="A9" t="s">
        <v>51</v>
      </c>
      <c r="B9" t="e" vm="69">
        <v>#VALUE!</v>
      </c>
      <c r="C9" s="1" cm="1">
        <f t="array" aca="1" ref="C9" ca="1">_FV(B9,"Price")</f>
        <v>341.25</v>
      </c>
      <c r="D9" s="2" cm="1">
        <f t="array" aca="1" ref="D9" ca="1">_FV(B9,"Change (%)",TRUE)</f>
        <v>8.5050000000000002E-4</v>
      </c>
    </row>
    <row r="10" spans="1:4" x14ac:dyDescent="0.25">
      <c r="A10" t="s">
        <v>67</v>
      </c>
      <c r="B10" t="e" vm="70">
        <v>#VALUE!</v>
      </c>
      <c r="C10" s="1" cm="1">
        <f t="array" aca="1" ref="C10" ca="1">_FV(B10,"Price")</f>
        <v>100.68</v>
      </c>
      <c r="D10" s="2" cm="1">
        <f t="array" aca="1" ref="D10" ca="1">_FV(B10,"Change (%)",TRUE)</f>
        <v>2.9809999999999998E-4</v>
      </c>
    </row>
    <row r="11" spans="1:4" x14ac:dyDescent="0.25">
      <c r="A11" t="s">
        <v>65</v>
      </c>
      <c r="B11" t="e" vm="71">
        <v>#VALUE!</v>
      </c>
      <c r="C11" s="1" cm="1">
        <f t="array" aca="1" ref="C11" ca="1">_FV(B11,"Price")</f>
        <v>50.8874</v>
      </c>
      <c r="D11" s="2" cm="1">
        <f t="array" aca="1" ref="D11" ca="1">_FV(B11,"Change (%)",TRUE)</f>
        <v>2.221E-4</v>
      </c>
    </row>
    <row r="12" spans="1:4" x14ac:dyDescent="0.25">
      <c r="A12" t="s">
        <v>62</v>
      </c>
      <c r="B12" t="e" vm="72">
        <v>#VALUE!</v>
      </c>
      <c r="C12" s="1" cm="1">
        <f t="array" aca="1" ref="C12" ca="1">_FV(B12,"Price")</f>
        <v>178.72</v>
      </c>
      <c r="D12" s="2" cm="1">
        <f t="array" aca="1" ref="D12" ca="1">_FV(B12,"Change (%)",TRUE)</f>
        <v>1.6789999999999999E-4</v>
      </c>
    </row>
    <row r="13" spans="1:4" x14ac:dyDescent="0.25">
      <c r="A13" t="s">
        <v>57</v>
      </c>
      <c r="B13" t="e" vm="73">
        <v>#VALUE!</v>
      </c>
      <c r="C13" s="1" cm="1">
        <f t="array" aca="1" ref="C13" ca="1">_FV(B13,"Price")</f>
        <v>106.9</v>
      </c>
      <c r="D13" s="2" cm="1">
        <f t="array" aca="1" ref="D13" ca="1">_FV(B13,"Change (%)",TRUE)</f>
        <v>-1.8710000000000002E-4</v>
      </c>
    </row>
    <row r="14" spans="1:4" x14ac:dyDescent="0.25">
      <c r="A14" t="s">
        <v>61</v>
      </c>
      <c r="B14" t="e" vm="74">
        <v>#VALUE!</v>
      </c>
      <c r="C14" s="1" cm="1">
        <f t="array" aca="1" ref="C14" ca="1">_FV(B14,"Price")</f>
        <v>101.68</v>
      </c>
      <c r="D14" s="2" cm="1">
        <f t="array" aca="1" ref="D14" ca="1">_FV(B14,"Change (%)",TRUE)</f>
        <v>-6.8800000000000003E-4</v>
      </c>
    </row>
    <row r="15" spans="1:4" x14ac:dyDescent="0.25">
      <c r="A15" t="s">
        <v>68</v>
      </c>
      <c r="B15" t="e" vm="75">
        <v>#VALUE!</v>
      </c>
      <c r="C15" s="1" cm="1">
        <f t="array" aca="1" ref="C15" ca="1">_FV(B15,"Price")</f>
        <v>119.92</v>
      </c>
      <c r="D15" s="2" cm="1">
        <f t="array" aca="1" ref="D15" ca="1">_FV(B15,"Change (%)",TRUE)</f>
        <v>-2.8270000000000001E-3</v>
      </c>
    </row>
    <row r="16" spans="1:4" x14ac:dyDescent="0.25">
      <c r="A16" t="s">
        <v>66</v>
      </c>
      <c r="B16" t="e" vm="76">
        <v>#VALUE!</v>
      </c>
      <c r="C16" s="1" cm="1">
        <f t="array" aca="1" ref="C16" ca="1">_FV(B16,"Price")</f>
        <v>58.110999999999997</v>
      </c>
      <c r="D16" s="2" cm="1">
        <f t="array" aca="1" ref="D16" ca="1">_FV(B16,"Change (%)",TRUE)</f>
        <v>-3.2420000000000001E-3</v>
      </c>
    </row>
    <row r="17" spans="1:4" x14ac:dyDescent="0.25">
      <c r="A17" t="s">
        <v>54</v>
      </c>
      <c r="B17" t="e" vm="77">
        <v>#VALUE!</v>
      </c>
      <c r="C17" s="1" cm="1">
        <f t="array" aca="1" ref="C17" ca="1">_FV(B17,"Price")</f>
        <v>179.75</v>
      </c>
      <c r="D17" s="2" cm="1">
        <f t="array" aca="1" ref="D17" ca="1">_FV(B17,"Change (%)",TRUE)</f>
        <v>-3.6030000000000003E-3</v>
      </c>
    </row>
    <row r="18" spans="1:4" x14ac:dyDescent="0.25">
      <c r="A18" t="s">
        <v>58</v>
      </c>
      <c r="B18" t="e" vm="78">
        <v>#VALUE!</v>
      </c>
      <c r="C18" s="1" cm="1">
        <f t="array" aca="1" ref="C18" ca="1">_FV(B18,"Price")</f>
        <v>43.7</v>
      </c>
      <c r="D18" s="2" cm="1">
        <f t="array" aca="1" ref="D18" ca="1">_FV(B18,"Change (%)",TRUE)</f>
        <v>-5.0090000000000004E-3</v>
      </c>
    </row>
    <row r="19" spans="1:4" x14ac:dyDescent="0.25">
      <c r="A19" t="s">
        <v>53</v>
      </c>
      <c r="B19" t="e" vm="79">
        <v>#VALUE!</v>
      </c>
      <c r="C19" s="1" cm="1">
        <f t="array" aca="1" ref="C19" ca="1">_FV(B19,"Price")</f>
        <v>47.752600000000001</v>
      </c>
      <c r="D19" s="2" cm="1">
        <f t="array" aca="1" ref="D19" ca="1">_FV(B19,"Change (%)",TRUE)</f>
        <v>-5.0130000000000001E-3</v>
      </c>
    </row>
    <row r="20" spans="1:4" x14ac:dyDescent="0.25">
      <c r="A20" t="s">
        <v>63</v>
      </c>
      <c r="B20" t="e" vm="80">
        <v>#VALUE!</v>
      </c>
      <c r="C20" s="1" cm="1">
        <f t="array" aca="1" ref="C20" ca="1">_FV(B20,"Price")</f>
        <v>72.56</v>
      </c>
      <c r="D20" s="2" cm="1">
        <f t="array" aca="1" ref="D20" ca="1">_FV(B20,"Change (%)",TRUE)</f>
        <v>-5.3460000000000001E-3</v>
      </c>
    </row>
  </sheetData>
  <autoFilter ref="A1:D1" xr:uid="{160AA96A-81D6-4BE2-9770-0BD4A66A1284}">
    <sortState xmlns:xlrd2="http://schemas.microsoft.com/office/spreadsheetml/2017/richdata2" ref="A2:D20">
      <sortCondition descending="1" ref="D1"/>
    </sortState>
  </autoFilter>
  <conditionalFormatting sqref="D2:D20">
    <cfRule type="cellIs" dxfId="29" priority="1" operator="greaterThan">
      <formula>0</formula>
    </cfRule>
    <cfRule type="cellIs" dxfId="28" priority="2"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68628-B279-4CD1-9B6E-A6D6D959BE04}">
  <dimension ref="A1:D8"/>
  <sheetViews>
    <sheetView workbookViewId="0">
      <selection sqref="A1:XFD1"/>
    </sheetView>
  </sheetViews>
  <sheetFormatPr defaultRowHeight="15" x14ac:dyDescent="0.25"/>
  <cols>
    <col min="2" max="2" width="39.5703125" bestFit="1" customWidth="1"/>
  </cols>
  <sheetData>
    <row r="1" spans="1:4" x14ac:dyDescent="0.25">
      <c r="A1" t="s">
        <v>0</v>
      </c>
      <c r="B1" t="s">
        <v>190</v>
      </c>
      <c r="C1" t="s">
        <v>188</v>
      </c>
      <c r="D1" t="s">
        <v>189</v>
      </c>
    </row>
    <row r="2" spans="1:4" x14ac:dyDescent="0.25">
      <c r="A2" t="s">
        <v>69</v>
      </c>
      <c r="B2" t="e" vm="81">
        <v>#VALUE!</v>
      </c>
      <c r="C2" s="1" cm="1">
        <f t="array" aca="1" ref="C2" ca="1">_FV(B2,"Price")</f>
        <v>308.58</v>
      </c>
      <c r="D2" s="2" cm="1">
        <f t="array" aca="1" ref="D2" ca="1">_FV(B2,"Change (%)",TRUE)</f>
        <v>4.5537999999999995E-2</v>
      </c>
    </row>
    <row r="3" spans="1:4" x14ac:dyDescent="0.25">
      <c r="A3" t="s">
        <v>70</v>
      </c>
      <c r="B3" t="e" vm="82">
        <v>#VALUE!</v>
      </c>
      <c r="C3" s="1" cm="1">
        <f t="array" aca="1" ref="C3" ca="1">_FV(B3,"Price")</f>
        <v>177.63</v>
      </c>
      <c r="D3" s="2" cm="1">
        <f t="array" aca="1" ref="D3" ca="1">_FV(B3,"Change (%)",TRUE)</f>
        <v>1.6712999999999999E-2</v>
      </c>
    </row>
    <row r="4" spans="1:4" x14ac:dyDescent="0.25">
      <c r="A4" t="s">
        <v>75</v>
      </c>
      <c r="B4" t="e" vm="83">
        <v>#VALUE!</v>
      </c>
      <c r="C4" s="1" cm="1">
        <f t="array" aca="1" ref="C4" ca="1">_FV(B4,"Price")</f>
        <v>216.98</v>
      </c>
      <c r="D4" s="2" cm="1">
        <f t="array" aca="1" ref="D4" ca="1">_FV(B4,"Change (%)",TRUE)</f>
        <v>1.5966999999999999E-2</v>
      </c>
    </row>
    <row r="5" spans="1:4" x14ac:dyDescent="0.25">
      <c r="A5" t="s">
        <v>72</v>
      </c>
      <c r="B5" t="e" vm="84">
        <v>#VALUE!</v>
      </c>
      <c r="C5" s="1" cm="1">
        <f t="array" aca="1" ref="C5" ca="1">_FV(B5,"Price")</f>
        <v>142.63</v>
      </c>
      <c r="D5" s="2" cm="1">
        <f t="array" aca="1" ref="D5" ca="1">_FV(B5,"Change (%)",TRUE)</f>
        <v>6.4209999999999996E-3</v>
      </c>
    </row>
    <row r="6" spans="1:4" x14ac:dyDescent="0.25">
      <c r="A6" t="s">
        <v>73</v>
      </c>
      <c r="B6" t="e" vm="85">
        <v>#VALUE!</v>
      </c>
      <c r="C6" s="1" cm="1">
        <f t="array" aca="1" ref="C6" ca="1">_FV(B6,"Price")</f>
        <v>472.75</v>
      </c>
      <c r="D6" s="2" cm="1">
        <f t="array" aca="1" ref="D6" ca="1">_FV(B6,"Change (%)",TRUE)</f>
        <v>5.0379999999999999E-3</v>
      </c>
    </row>
    <row r="7" spans="1:4" x14ac:dyDescent="0.25">
      <c r="A7" t="s">
        <v>74</v>
      </c>
      <c r="B7" t="e" vm="86">
        <v>#VALUE!</v>
      </c>
      <c r="C7" s="1" cm="1">
        <f t="array" aca="1" ref="C7" ca="1">_FV(B7,"Price")</f>
        <v>694.06</v>
      </c>
      <c r="D7" s="2" cm="1">
        <f t="array" aca="1" ref="D7" ca="1">_FV(B7,"Change (%)",TRUE)</f>
        <v>-5.2310000000000004E-3</v>
      </c>
    </row>
    <row r="8" spans="1:4" x14ac:dyDescent="0.25">
      <c r="A8" t="s">
        <v>71</v>
      </c>
      <c r="B8" t="e" vm="87">
        <v>#VALUE!</v>
      </c>
      <c r="C8" s="1" cm="1">
        <f t="array" aca="1" ref="C8" ca="1">_FV(B8,"Price")</f>
        <v>201.45</v>
      </c>
      <c r="D8" s="2" cm="1">
        <f t="array" aca="1" ref="D8" ca="1">_FV(B8,"Change (%)",TRUE)</f>
        <v>-1.2113000000000001E-2</v>
      </c>
    </row>
  </sheetData>
  <autoFilter ref="A1:D1" xr:uid="{DAA68628-B279-4CD1-9B6E-A6D6D959BE04}">
    <sortState xmlns:xlrd2="http://schemas.microsoft.com/office/spreadsheetml/2017/richdata2" ref="A2:D8">
      <sortCondition descending="1" ref="D1"/>
    </sortState>
  </autoFilter>
  <conditionalFormatting sqref="D2:D8">
    <cfRule type="cellIs" dxfId="27" priority="1" operator="greaterThan">
      <formula>0</formula>
    </cfRule>
    <cfRule type="cellIs" dxfId="26" priority="2"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0A14-F89B-4DC4-A2AB-BF3E94913A6C}">
  <dimension ref="A1:D7"/>
  <sheetViews>
    <sheetView zoomScaleNormal="100" workbookViewId="0">
      <selection sqref="A1:XFD1"/>
    </sheetView>
  </sheetViews>
  <sheetFormatPr defaultRowHeight="15" x14ac:dyDescent="0.25"/>
  <cols>
    <col min="2" max="2" width="34.140625" bestFit="1" customWidth="1"/>
  </cols>
  <sheetData>
    <row r="1" spans="1:4" x14ac:dyDescent="0.25">
      <c r="A1" t="s">
        <v>0</v>
      </c>
      <c r="B1" t="s">
        <v>190</v>
      </c>
      <c r="C1" t="s">
        <v>188</v>
      </c>
      <c r="D1" t="s">
        <v>189</v>
      </c>
    </row>
    <row r="2" spans="1:4" x14ac:dyDescent="0.25">
      <c r="A2" t="s">
        <v>78</v>
      </c>
      <c r="B2" t="e" vm="88">
        <v>#VALUE!</v>
      </c>
      <c r="C2" s="1" cm="1">
        <f t="array" aca="1" ref="C2" ca="1">_FV(B2,"Price")</f>
        <v>99</v>
      </c>
      <c r="D2" s="2" cm="1">
        <f t="array" aca="1" ref="D2" ca="1">_FV(B2,"Change (%)",TRUE)</f>
        <v>1.4239999999999999E-2</v>
      </c>
    </row>
    <row r="3" spans="1:4" x14ac:dyDescent="0.25">
      <c r="A3" t="s">
        <v>80</v>
      </c>
      <c r="B3" t="e" vm="89">
        <v>#VALUE!</v>
      </c>
      <c r="C3" s="1" cm="1">
        <f t="array" aca="1" ref="C3" ca="1">_FV(B3,"Price")</f>
        <v>132.19999999999999</v>
      </c>
      <c r="D3" s="2" cm="1">
        <f t="array" aca="1" ref="D3" ca="1">_FV(B3,"Change (%)",TRUE)</f>
        <v>6.4710000000000002E-3</v>
      </c>
    </row>
    <row r="4" spans="1:4" x14ac:dyDescent="0.25">
      <c r="A4" t="s">
        <v>79</v>
      </c>
      <c r="B4" t="e" vm="90">
        <v>#VALUE!</v>
      </c>
      <c r="C4" s="1" cm="1">
        <f t="array" aca="1" ref="C4" ca="1">_FV(B4,"Price")</f>
        <v>121.83</v>
      </c>
      <c r="D4" s="2" cm="1">
        <f t="array" aca="1" ref="D4" ca="1">_FV(B4,"Change (%)",TRUE)</f>
        <v>5.8620000000000009E-3</v>
      </c>
    </row>
    <row r="5" spans="1:4" x14ac:dyDescent="0.25">
      <c r="A5" t="s">
        <v>77</v>
      </c>
      <c r="B5" t="e" vm="91">
        <v>#VALUE!</v>
      </c>
      <c r="C5" s="1" cm="1">
        <f t="array" aca="1" ref="C5" ca="1">_FV(B5,"Price")</f>
        <v>191.8</v>
      </c>
      <c r="D5" s="2" cm="1">
        <f t="array" aca="1" ref="D5" ca="1">_FV(B5,"Change (%)",TRUE)</f>
        <v>2.4039999999999999E-3</v>
      </c>
    </row>
    <row r="6" spans="1:4" x14ac:dyDescent="0.25">
      <c r="A6" t="s">
        <v>76</v>
      </c>
      <c r="B6" t="e" vm="92">
        <v>#VALUE!</v>
      </c>
      <c r="C6" s="1" cm="1">
        <f t="array" aca="1" ref="C6" ca="1">_FV(B6,"Price")</f>
        <v>105.58</v>
      </c>
      <c r="D6" s="2" cm="1">
        <f t="array" aca="1" ref="D6" ca="1">_FV(B6,"Change (%)",TRUE)</f>
        <v>2.8420000000000002E-4</v>
      </c>
    </row>
    <row r="7" spans="1:4" x14ac:dyDescent="0.25">
      <c r="A7" t="s">
        <v>81</v>
      </c>
      <c r="B7" t="e" vm="93">
        <v>#VALUE!</v>
      </c>
      <c r="C7" s="1" cm="1">
        <f t="array" aca="1" ref="C7" ca="1">_FV(B7,"Price")</f>
        <v>89.88</v>
      </c>
      <c r="D7" s="2" cm="1">
        <f t="array" aca="1" ref="D7" ca="1">_FV(B7,"Change (%)",TRUE)</f>
        <v>-1.555E-3</v>
      </c>
    </row>
  </sheetData>
  <autoFilter ref="A1:D1" xr:uid="{D3C90A14-F89B-4DC4-A2AB-BF3E94913A6C}">
    <sortState xmlns:xlrd2="http://schemas.microsoft.com/office/spreadsheetml/2017/richdata2" ref="A2:D7">
      <sortCondition descending="1" ref="D1"/>
    </sortState>
  </autoFilter>
  <conditionalFormatting sqref="D2:D7">
    <cfRule type="cellIs" dxfId="25" priority="1" operator="greaterThan">
      <formula>0</formula>
    </cfRule>
    <cfRule type="cellIs" dxfId="24" priority="2" operator="lessThan">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76D0B-5518-4F2A-A133-1E511EB98FBD}">
  <dimension ref="A1:D8"/>
  <sheetViews>
    <sheetView workbookViewId="0">
      <selection activeCell="A3" sqref="A3:XFD3"/>
    </sheetView>
  </sheetViews>
  <sheetFormatPr defaultRowHeight="15" x14ac:dyDescent="0.25"/>
  <cols>
    <col min="2" max="2" width="36.42578125" bestFit="1" customWidth="1"/>
  </cols>
  <sheetData>
    <row r="1" spans="1:4" x14ac:dyDescent="0.25">
      <c r="A1" t="s">
        <v>0</v>
      </c>
      <c r="B1" t="s">
        <v>190</v>
      </c>
      <c r="C1" t="s">
        <v>188</v>
      </c>
      <c r="D1" t="s">
        <v>189</v>
      </c>
    </row>
    <row r="2" spans="1:4" x14ac:dyDescent="0.25">
      <c r="A2" t="s">
        <v>82</v>
      </c>
      <c r="B2" t="e" vm="94">
        <v>#VALUE!</v>
      </c>
      <c r="C2" s="1" cm="1">
        <f t="array" aca="1" ref="C2" ca="1">_FV(B2,"Price")</f>
        <v>36.57</v>
      </c>
      <c r="D2" s="2" cm="1">
        <f t="array" aca="1" ref="D2" ca="1">_FV(B2,"Change (%)",TRUE)</f>
        <v>2.4656999999999998E-2</v>
      </c>
    </row>
    <row r="3" spans="1:4" x14ac:dyDescent="0.25">
      <c r="A3" t="s">
        <v>84</v>
      </c>
      <c r="B3" t="e" vm="95">
        <v>#VALUE!</v>
      </c>
      <c r="C3" s="1" cm="1">
        <f t="array" aca="1" ref="C3" ca="1">_FV(B3,"Price")</f>
        <v>32.56</v>
      </c>
      <c r="D3" s="2" cm="1">
        <f t="array" aca="1" ref="D3" ca="1">_FV(B3,"Change (%)",TRUE)</f>
        <v>2.0049999999999998E-2</v>
      </c>
    </row>
    <row r="4" spans="1:4" x14ac:dyDescent="0.25">
      <c r="A4" t="s">
        <v>195</v>
      </c>
      <c r="B4" t="e" vm="96">
        <v>#VALUE!</v>
      </c>
      <c r="C4" s="1" cm="1">
        <f t="array" aca="1" ref="C4" ca="1">_FV(B4,"Price")</f>
        <v>39.590000000000003</v>
      </c>
      <c r="D4" s="2" cm="1">
        <f t="array" aca="1" ref="D4" ca="1">_FV(B4,"Change (%)",TRUE)</f>
        <v>1.7999000000000001E-2</v>
      </c>
    </row>
    <row r="5" spans="1:4" x14ac:dyDescent="0.25">
      <c r="A5" t="s">
        <v>87</v>
      </c>
      <c r="B5" t="e" vm="97">
        <v>#VALUE!</v>
      </c>
      <c r="C5" s="1" cm="1">
        <f t="array" aca="1" ref="C5" ca="1">_FV(B5,"Price")</f>
        <v>43.55</v>
      </c>
      <c r="D5" s="2" cm="1">
        <f t="array" aca="1" ref="D5" ca="1">_FV(B5,"Change (%)",TRUE)</f>
        <v>7.6349999999999994E-3</v>
      </c>
    </row>
    <row r="6" spans="1:4" x14ac:dyDescent="0.25">
      <c r="A6" t="s">
        <v>83</v>
      </c>
      <c r="B6" t="e" vm="98">
        <v>#VALUE!</v>
      </c>
      <c r="C6" s="1" cm="1">
        <f t="array" aca="1" ref="C6" ca="1">_FV(B6,"Price")</f>
        <v>74.540000000000006</v>
      </c>
      <c r="D6" s="2" cm="1">
        <f t="array" aca="1" ref="D6" ca="1">_FV(B6,"Change (%)",TRUE)</f>
        <v>4.4469999999999996E-3</v>
      </c>
    </row>
    <row r="7" spans="1:4" x14ac:dyDescent="0.25">
      <c r="A7" t="s">
        <v>85</v>
      </c>
      <c r="B7" t="e" vm="99">
        <v>#VALUE!</v>
      </c>
      <c r="C7" s="1" cm="1">
        <f t="array" aca="1" ref="C7" ca="1">_FV(B7,"Price")</f>
        <v>158.99</v>
      </c>
      <c r="D7" s="2" cm="1">
        <f t="array" aca="1" ref="D7" ca="1">_FV(B7,"Change (%)",TRUE)</f>
        <v>2.6490000000000003E-3</v>
      </c>
    </row>
    <row r="8" spans="1:4" x14ac:dyDescent="0.25">
      <c r="A8" t="s">
        <v>86</v>
      </c>
      <c r="B8" t="e" vm="100">
        <v>#VALUE!</v>
      </c>
      <c r="C8" s="1" cm="1">
        <f t="array" aca="1" ref="C8" ca="1">_FV(B8,"Price")</f>
        <v>87.25</v>
      </c>
      <c r="D8" s="2" cm="1">
        <f t="array" aca="1" ref="D8" ca="1">_FV(B8,"Change (%)",TRUE)</f>
        <v>-3.4369999999999995E-4</v>
      </c>
    </row>
  </sheetData>
  <autoFilter ref="A1:D1" xr:uid="{16876D0B-5518-4F2A-A133-1E511EB98FBD}">
    <sortState xmlns:xlrd2="http://schemas.microsoft.com/office/spreadsheetml/2017/richdata2" ref="A2:D8">
      <sortCondition descending="1" ref="D1"/>
    </sortState>
  </autoFilter>
  <conditionalFormatting sqref="D2:D8">
    <cfRule type="cellIs" dxfId="23" priority="1" operator="greaterThan">
      <formula>0</formula>
    </cfRule>
    <cfRule type="cellIs" dxfId="22" priority="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4653D-993B-4C87-A16F-4C55473FC2E8}">
  <dimension ref="A1:D7"/>
  <sheetViews>
    <sheetView workbookViewId="0">
      <selection sqref="A1:XFD1"/>
    </sheetView>
  </sheetViews>
  <sheetFormatPr defaultRowHeight="15" x14ac:dyDescent="0.25"/>
  <cols>
    <col min="2" max="2" width="34.42578125" bestFit="1" customWidth="1"/>
  </cols>
  <sheetData>
    <row r="1" spans="1:4" x14ac:dyDescent="0.25">
      <c r="A1" t="s">
        <v>0</v>
      </c>
      <c r="B1" t="s">
        <v>190</v>
      </c>
      <c r="C1" t="s">
        <v>188</v>
      </c>
      <c r="D1" t="s">
        <v>189</v>
      </c>
    </row>
    <row r="2" spans="1:4" x14ac:dyDescent="0.25">
      <c r="A2" t="s">
        <v>91</v>
      </c>
      <c r="B2" t="e" vm="101">
        <v>#VALUE!</v>
      </c>
      <c r="C2" s="1" cm="1">
        <f t="array" aca="1" ref="C2" ca="1">_FV(B2,"Price")</f>
        <v>82.02</v>
      </c>
      <c r="D2" s="2" cm="1">
        <f t="array" aca="1" ref="D2" ca="1">_FV(B2,"Change (%)",TRUE)</f>
        <v>5.6399999999999992E-3</v>
      </c>
    </row>
    <row r="3" spans="1:4" x14ac:dyDescent="0.25">
      <c r="A3" t="s">
        <v>88</v>
      </c>
      <c r="B3" t="e" vm="102">
        <v>#VALUE!</v>
      </c>
      <c r="C3" s="1" cm="1">
        <f t="array" aca="1" ref="C3" ca="1">_FV(B3,"Price")</f>
        <v>44</v>
      </c>
      <c r="D3" s="2" cm="1">
        <f t="array" aca="1" ref="D3" ca="1">_FV(B3,"Change (%)",TRUE)</f>
        <v>5.9119999999999997E-3</v>
      </c>
    </row>
    <row r="4" spans="1:4" x14ac:dyDescent="0.25">
      <c r="A4" t="s">
        <v>89</v>
      </c>
      <c r="B4" t="e" vm="103">
        <v>#VALUE!</v>
      </c>
      <c r="C4" s="1" cm="1">
        <f t="array" aca="1" ref="C4" ca="1">_FV(B4,"Price")</f>
        <v>67.8</v>
      </c>
      <c r="D4" s="2" cm="1">
        <f t="array" aca="1" ref="D4" ca="1">_FV(B4,"Change (%)",TRUE)</f>
        <v>2.3649999999999999E-3</v>
      </c>
    </row>
    <row r="5" spans="1:4" x14ac:dyDescent="0.25">
      <c r="A5" t="s">
        <v>54</v>
      </c>
      <c r="B5" t="e" vm="77">
        <v>#VALUE!</v>
      </c>
      <c r="C5" s="1" cm="1">
        <f t="array" aca="1" ref="C5" ca="1">_FV(B5,"Price")</f>
        <v>179.75</v>
      </c>
      <c r="D5" s="2" cm="1">
        <f t="array" aca="1" ref="D5" ca="1">_FV(B5,"Change (%)",TRUE)</f>
        <v>-3.6030000000000003E-3</v>
      </c>
    </row>
    <row r="6" spans="1:4" x14ac:dyDescent="0.25">
      <c r="A6" t="s">
        <v>68</v>
      </c>
      <c r="B6" t="e" vm="75">
        <v>#VALUE!</v>
      </c>
      <c r="C6" s="1" cm="1">
        <f t="array" aca="1" ref="C6" ca="1">_FV(B6,"Price")</f>
        <v>119.92</v>
      </c>
      <c r="D6" s="2" cm="1">
        <f t="array" aca="1" ref="D6" ca="1">_FV(B6,"Change (%)",TRUE)</f>
        <v>-2.8270000000000001E-3</v>
      </c>
    </row>
    <row r="7" spans="1:4" x14ac:dyDescent="0.25">
      <c r="A7" t="s">
        <v>90</v>
      </c>
      <c r="B7" t="e" vm="104">
        <v>#VALUE!</v>
      </c>
      <c r="C7" s="1" cm="1">
        <f t="array" aca="1" ref="C7" ca="1">_FV(B7,"Price")</f>
        <v>52.6</v>
      </c>
      <c r="D7" s="2" cm="1">
        <f t="array" aca="1" ref="D7" ca="1">_FV(B7,"Change (%)",TRUE)</f>
        <v>-4.9049999999999996E-3</v>
      </c>
    </row>
  </sheetData>
  <autoFilter ref="A1:D1" xr:uid="{0C84653D-993B-4C87-A16F-4C55473FC2E8}">
    <sortState xmlns:xlrd2="http://schemas.microsoft.com/office/spreadsheetml/2017/richdata2" ref="A2:D7">
      <sortCondition descending="1" ref="D1"/>
    </sortState>
  </autoFilter>
  <conditionalFormatting sqref="D2:D7">
    <cfRule type="cellIs" dxfId="21" priority="1" operator="greaterThan">
      <formula>0</formula>
    </cfRule>
    <cfRule type="cellIs" dxfId="20" priority="2" operator="lessThan">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DC68C-381E-4D36-B0EC-FC873087CD67}">
  <dimension ref="A1:D18"/>
  <sheetViews>
    <sheetView workbookViewId="0">
      <selection sqref="A1:XFD1"/>
    </sheetView>
  </sheetViews>
  <sheetFormatPr defaultRowHeight="15" x14ac:dyDescent="0.25"/>
  <cols>
    <col min="2" max="2" width="38.140625" bestFit="1" customWidth="1"/>
  </cols>
  <sheetData>
    <row r="1" spans="1:4" x14ac:dyDescent="0.25">
      <c r="A1" t="s">
        <v>0</v>
      </c>
      <c r="B1" t="s">
        <v>190</v>
      </c>
      <c r="C1" t="s">
        <v>188</v>
      </c>
      <c r="D1" t="s">
        <v>189</v>
      </c>
    </row>
    <row r="2" spans="1:4" x14ac:dyDescent="0.25">
      <c r="A2" t="s">
        <v>97</v>
      </c>
      <c r="B2" t="e" vm="105">
        <v>#VALUE!</v>
      </c>
      <c r="C2" s="1" cm="1">
        <f t="array" aca="1" ref="C2" ca="1">_FV(B2,"Price")</f>
        <v>107.24</v>
      </c>
      <c r="D2" s="2" cm="1">
        <f t="array" aca="1" ref="D2" ca="1">_FV(B2,"Change (%)",TRUE)</f>
        <v>2.993E-3</v>
      </c>
    </row>
    <row r="3" spans="1:4" x14ac:dyDescent="0.25">
      <c r="A3" t="s">
        <v>98</v>
      </c>
      <c r="B3" t="e" vm="106">
        <v>#VALUE!</v>
      </c>
      <c r="C3" s="1" cm="1">
        <f t="array" aca="1" ref="C3" ca="1">_FV(B3,"Price")</f>
        <v>30.35</v>
      </c>
      <c r="D3" s="2" cm="1">
        <f t="array" aca="1" ref="D3" ca="1">_FV(B3,"Change (%)",TRUE)</f>
        <v>2.643E-3</v>
      </c>
    </row>
    <row r="4" spans="1:4" x14ac:dyDescent="0.25">
      <c r="A4" t="s">
        <v>108</v>
      </c>
      <c r="B4" t="e" vm="107">
        <v>#VALUE!</v>
      </c>
      <c r="C4" s="1" cm="1">
        <f t="array" aca="1" ref="C4" ca="1">_FV(B4,"Price")</f>
        <v>103.47</v>
      </c>
      <c r="D4" s="2" cm="1">
        <f t="array" aca="1" ref="D4" ca="1">_FV(B4,"Change (%)",TRUE)</f>
        <v>2.6159999999999998E-3</v>
      </c>
    </row>
    <row r="5" spans="1:4" x14ac:dyDescent="0.25">
      <c r="A5" t="s">
        <v>96</v>
      </c>
      <c r="B5" t="e" vm="108">
        <v>#VALUE!</v>
      </c>
      <c r="C5" s="1" cm="1">
        <f t="array" aca="1" ref="C5" ca="1">_FV(B5,"Price")</f>
        <v>90.66</v>
      </c>
      <c r="D5" s="2" cm="1">
        <f t="array" aca="1" ref="D5" ca="1">_FV(B5,"Change (%)",TRUE)</f>
        <v>2.5430000000000001E-3</v>
      </c>
    </row>
    <row r="6" spans="1:4" x14ac:dyDescent="0.25">
      <c r="A6" t="s">
        <v>99</v>
      </c>
      <c r="B6" t="e" vm="5">
        <v>#VALUE!</v>
      </c>
      <c r="C6" s="1" cm="1">
        <f t="array" aca="1" ref="C6" ca="1">_FV(B6,"Price")</f>
        <v>93.68</v>
      </c>
      <c r="D6" s="2" cm="1">
        <f t="array" aca="1" ref="D6" ca="1">_FV(B6,"Change (%)",TRUE)</f>
        <v>1.818E-3</v>
      </c>
    </row>
    <row r="7" spans="1:4" x14ac:dyDescent="0.25">
      <c r="A7" t="s">
        <v>106</v>
      </c>
      <c r="B7" t="e" vm="109">
        <v>#VALUE!</v>
      </c>
      <c r="C7" s="1" cm="1">
        <f t="array" aca="1" ref="C7" ca="1">_FV(B7,"Price")</f>
        <v>49.28</v>
      </c>
      <c r="D7" s="2" cm="1">
        <f t="array" aca="1" ref="D7" ca="1">_FV(B7,"Change (%)",TRUE)</f>
        <v>1.6259999999999998E-3</v>
      </c>
    </row>
    <row r="8" spans="1:4" x14ac:dyDescent="0.25">
      <c r="A8" t="s">
        <v>94</v>
      </c>
      <c r="B8" t="e" vm="110">
        <v>#VALUE!</v>
      </c>
      <c r="C8" s="1" cm="1">
        <f t="array" aca="1" ref="C8" ca="1">_FV(B8,"Price")</f>
        <v>98.75</v>
      </c>
      <c r="D8" s="2" cm="1">
        <f t="array" aca="1" ref="D8" ca="1">_FV(B8,"Change (%)",TRUE)</f>
        <v>1.4199999999999998E-3</v>
      </c>
    </row>
    <row r="9" spans="1:4" x14ac:dyDescent="0.25">
      <c r="A9" t="s">
        <v>102</v>
      </c>
      <c r="B9" t="e" vm="111">
        <v>#VALUE!</v>
      </c>
      <c r="C9" s="1" cm="1">
        <f t="array" aca="1" ref="C9" ca="1">_FV(B9,"Price")</f>
        <v>108.22</v>
      </c>
      <c r="D9" s="2" cm="1">
        <f t="array" aca="1" ref="D9" ca="1">_FV(B9,"Change (%)",TRUE)</f>
        <v>1.3880000000000001E-3</v>
      </c>
    </row>
    <row r="10" spans="1:4" x14ac:dyDescent="0.25">
      <c r="A10" t="s">
        <v>101</v>
      </c>
      <c r="B10" t="e" vm="112">
        <v>#VALUE!</v>
      </c>
      <c r="C10" s="1" cm="1">
        <f t="array" aca="1" ref="C10" ca="1">_FV(B10,"Price")</f>
        <v>97.4</v>
      </c>
      <c r="D10" s="2" cm="1">
        <f t="array" aca="1" ref="D10" ca="1">_FV(B10,"Change (%)",TRUE)</f>
        <v>1.2339999999999999E-3</v>
      </c>
    </row>
    <row r="11" spans="1:4" x14ac:dyDescent="0.25">
      <c r="A11" t="s">
        <v>104</v>
      </c>
      <c r="B11" t="e" vm="113">
        <v>#VALUE!</v>
      </c>
      <c r="C11" s="1" cm="1">
        <f t="array" aca="1" ref="C11" ca="1">_FV(B11,"Price")</f>
        <v>117.25</v>
      </c>
      <c r="D11" s="2" cm="1">
        <f t="array" aca="1" ref="D11" ca="1">_FV(B11,"Change (%)",TRUE)</f>
        <v>1.1949999999999999E-3</v>
      </c>
    </row>
    <row r="12" spans="1:4" x14ac:dyDescent="0.25">
      <c r="A12" t="s">
        <v>93</v>
      </c>
      <c r="B12" t="e" vm="114">
        <v>#VALUE!</v>
      </c>
      <c r="C12" s="1" cm="1">
        <f t="array" aca="1" ref="C12" ca="1">_FV(B12,"Price")</f>
        <v>85.44</v>
      </c>
      <c r="D12" s="2" cm="1">
        <f t="array" aca="1" ref="D12" ca="1">_FV(B12,"Change (%)",TRUE)</f>
        <v>1.054E-3</v>
      </c>
    </row>
    <row r="13" spans="1:4" x14ac:dyDescent="0.25">
      <c r="A13" t="s">
        <v>100</v>
      </c>
      <c r="B13" t="e" vm="115">
        <v>#VALUE!</v>
      </c>
      <c r="C13" s="1" cm="1">
        <f t="array" aca="1" ref="C13" ca="1">_FV(B13,"Price")</f>
        <v>22.6</v>
      </c>
      <c r="D13" s="2" cm="1">
        <f t="array" aca="1" ref="D13" ca="1">_FV(B13,"Change (%)",TRUE)</f>
        <v>8.8570000000000001E-4</v>
      </c>
    </row>
    <row r="14" spans="1:4" x14ac:dyDescent="0.25">
      <c r="A14" t="s">
        <v>105</v>
      </c>
      <c r="B14" t="e" vm="116">
        <v>#VALUE!</v>
      </c>
      <c r="C14" s="1" cm="1">
        <f t="array" aca="1" ref="C14" ca="1">_FV(B14,"Price")</f>
        <v>82.27</v>
      </c>
      <c r="D14" s="2" cm="1">
        <f t="array" aca="1" ref="D14" ca="1">_FV(B14,"Change (%)",TRUE)</f>
        <v>7.2980000000000007E-4</v>
      </c>
    </row>
    <row r="15" spans="1:4" x14ac:dyDescent="0.25">
      <c r="A15" t="s">
        <v>103</v>
      </c>
      <c r="B15" t="e" vm="117">
        <v>#VALUE!</v>
      </c>
      <c r="C15" s="1" cm="1">
        <f t="array" aca="1" ref="C15" ca="1">_FV(B15,"Price")</f>
        <v>79.34</v>
      </c>
      <c r="D15" s="2" cm="1">
        <f t="array" aca="1" ref="D15" ca="1">_FV(B15,"Change (%)",TRUE)</f>
        <v>5.0440000000000001E-4</v>
      </c>
    </row>
    <row r="16" spans="1:4" x14ac:dyDescent="0.25">
      <c r="A16" t="s">
        <v>95</v>
      </c>
      <c r="B16" t="e" vm="118">
        <v>#VALUE!</v>
      </c>
      <c r="C16" s="1" cm="1">
        <f t="array" aca="1" ref="C16" ca="1">_FV(B16,"Price")</f>
        <v>41.93</v>
      </c>
      <c r="D16" s="2" cm="1">
        <f t="array" aca="1" ref="D16" ca="1">_FV(B16,"Change (%)",TRUE)</f>
        <v>2.385E-4</v>
      </c>
    </row>
    <row r="17" spans="1:4" x14ac:dyDescent="0.25">
      <c r="A17" t="s">
        <v>107</v>
      </c>
      <c r="B17" t="e" vm="119">
        <v>#VALUE!</v>
      </c>
      <c r="C17" s="1" cm="1">
        <f t="array" aca="1" ref="C17" ca="1">_FV(B17,"Price")</f>
        <v>20.92</v>
      </c>
      <c r="D17" s="2" cm="1">
        <f t="array" aca="1" ref="D17" ca="1">_FV(B17,"Change (%)",TRUE)</f>
        <v>0</v>
      </c>
    </row>
    <row r="18" spans="1:4" x14ac:dyDescent="0.25">
      <c r="A18" t="s">
        <v>92</v>
      </c>
      <c r="B18" t="e" vm="120">
        <v>#VALUE!</v>
      </c>
      <c r="C18" s="1" cm="1">
        <f t="array" aca="1" ref="C18" ca="1">_FV(B18,"Price")</f>
        <v>64.12</v>
      </c>
      <c r="D18" s="2" cm="1">
        <f t="array" aca="1" ref="D18" ca="1">_FV(B18,"Change (%)",TRUE)</f>
        <v>-2.1789999999999999E-3</v>
      </c>
    </row>
  </sheetData>
  <autoFilter ref="A1:D1" xr:uid="{D7ADC68C-381E-4D36-B0EC-FC873087CD67}">
    <sortState xmlns:xlrd2="http://schemas.microsoft.com/office/spreadsheetml/2017/richdata2" ref="A2:D18">
      <sortCondition descending="1" ref="D1"/>
    </sortState>
  </autoFilter>
  <conditionalFormatting sqref="D2:D18">
    <cfRule type="cellIs" dxfId="19" priority="1" operator="greaterThan">
      <formula>0</formula>
    </cfRule>
    <cfRule type="cellIs" dxfId="18" priority="2" operator="less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3C8B-EE30-4732-A32E-6667AFF9D7E8}">
  <dimension ref="A1:D23"/>
  <sheetViews>
    <sheetView workbookViewId="0">
      <selection sqref="A1:XFD1"/>
    </sheetView>
  </sheetViews>
  <sheetFormatPr defaultRowHeight="15" x14ac:dyDescent="0.25"/>
  <cols>
    <col min="2" max="2" width="38.85546875" bestFit="1" customWidth="1"/>
  </cols>
  <sheetData>
    <row r="1" spans="1:4" x14ac:dyDescent="0.25">
      <c r="A1" t="s">
        <v>0</v>
      </c>
      <c r="B1" t="s">
        <v>190</v>
      </c>
      <c r="C1" t="s">
        <v>188</v>
      </c>
      <c r="D1" t="s">
        <v>189</v>
      </c>
    </row>
    <row r="2" spans="1:4" x14ac:dyDescent="0.25">
      <c r="A2" t="s">
        <v>114</v>
      </c>
      <c r="B2" t="e" vm="121">
        <v>#VALUE!</v>
      </c>
      <c r="C2" s="1" cm="1">
        <f t="array" aca="1" ref="C2" ca="1">_FV(B2,"Price")</f>
        <v>35.18</v>
      </c>
      <c r="D2" s="2" cm="1">
        <f t="array" aca="1" ref="D2" ca="1">_FV(B2,"Change (%)",TRUE)</f>
        <v>4.5778999999999993E-2</v>
      </c>
    </row>
    <row r="3" spans="1:4" x14ac:dyDescent="0.25">
      <c r="A3" t="s">
        <v>111</v>
      </c>
      <c r="B3" t="e" vm="122">
        <v>#VALUE!</v>
      </c>
      <c r="C3" s="1" cm="1">
        <f t="array" aca="1" ref="C3" ca="1">_FV(B3,"Price")</f>
        <v>111.1</v>
      </c>
      <c r="D3" s="2" cm="1">
        <f t="array" aca="1" ref="D3" ca="1">_FV(B3,"Change (%)",TRUE)</f>
        <v>3.8317999999999998E-2</v>
      </c>
    </row>
    <row r="4" spans="1:4" x14ac:dyDescent="0.25">
      <c r="A4" t="s">
        <v>117</v>
      </c>
      <c r="B4" t="e" vm="123">
        <v>#VALUE!</v>
      </c>
      <c r="C4" s="1" cm="1">
        <f t="array" aca="1" ref="C4" ca="1">_FV(B4,"Price")</f>
        <v>98.6</v>
      </c>
      <c r="D4" s="2" cm="1">
        <f t="array" aca="1" ref="D4" ca="1">_FV(B4,"Change (%)",TRUE)</f>
        <v>3.0733999999999997E-2</v>
      </c>
    </row>
    <row r="5" spans="1:4" x14ac:dyDescent="0.25">
      <c r="A5" t="s">
        <v>110</v>
      </c>
      <c r="B5" t="e" vm="124">
        <v>#VALUE!</v>
      </c>
      <c r="C5" s="1" cm="1">
        <f t="array" aca="1" ref="C5" ca="1">_FV(B5,"Price")</f>
        <v>33.39</v>
      </c>
      <c r="D5" s="2" cm="1">
        <f t="array" aca="1" ref="D5" ca="1">_FV(B5,"Change (%)",TRUE)</f>
        <v>2.1413000000000001E-2</v>
      </c>
    </row>
    <row r="6" spans="1:4" x14ac:dyDescent="0.25">
      <c r="A6" t="s">
        <v>112</v>
      </c>
      <c r="B6" t="e" vm="125">
        <v>#VALUE!</v>
      </c>
      <c r="C6" s="1" cm="1">
        <f t="array" aca="1" ref="C6" ca="1">_FV(B6,"Price")</f>
        <v>30.68</v>
      </c>
      <c r="D6" s="2" cm="1">
        <f t="array" aca="1" ref="D6" ca="1">_FV(B6,"Change (%)",TRUE)</f>
        <v>1.4886E-2</v>
      </c>
    </row>
    <row r="7" spans="1:4" x14ac:dyDescent="0.25">
      <c r="A7" t="s">
        <v>115</v>
      </c>
      <c r="B7" t="e" vm="126">
        <v>#VALUE!</v>
      </c>
      <c r="C7" s="1" cm="1">
        <f t="array" aca="1" ref="C7" ca="1">_FV(B7,"Price")</f>
        <v>65.36</v>
      </c>
      <c r="D7" s="2" cm="1">
        <f t="array" aca="1" ref="D7" ca="1">_FV(B7,"Change (%)",TRUE)</f>
        <v>1.4749000000000002E-2</v>
      </c>
    </row>
    <row r="8" spans="1:4" x14ac:dyDescent="0.25">
      <c r="A8" t="s">
        <v>118</v>
      </c>
      <c r="B8" t="e" vm="127">
        <v>#VALUE!</v>
      </c>
      <c r="C8" s="1" cm="1">
        <f t="array" aca="1" ref="C8" ca="1">_FV(B8,"Price")</f>
        <v>75.12</v>
      </c>
      <c r="D8" s="2" cm="1">
        <f t="array" aca="1" ref="D8" ca="1">_FV(B8,"Change (%)",TRUE)</f>
        <v>1.0492E-2</v>
      </c>
    </row>
    <row r="9" spans="1:4" x14ac:dyDescent="0.25">
      <c r="A9" t="s">
        <v>120</v>
      </c>
      <c r="B9" t="e" vm="128">
        <v>#VALUE!</v>
      </c>
      <c r="C9" s="1" cm="1">
        <f t="array" aca="1" ref="C9" ca="1">_FV(B9,"Price")</f>
        <v>37.58</v>
      </c>
      <c r="D9" s="2" cm="1">
        <f t="array" aca="1" ref="D9" ca="1">_FV(B9,"Change (%)",TRUE)</f>
        <v>9.672E-3</v>
      </c>
    </row>
    <row r="10" spans="1:4" x14ac:dyDescent="0.25">
      <c r="A10" t="s">
        <v>119</v>
      </c>
      <c r="B10" t="e" vm="7">
        <v>#VALUE!</v>
      </c>
      <c r="C10" s="1" cm="1">
        <f t="array" aca="1" ref="C10" ca="1">_FV(B10,"Price")</f>
        <v>72.05</v>
      </c>
      <c r="D10" s="2" cm="1">
        <f t="array" aca="1" ref="D10" ca="1">_FV(B10,"Change (%)",TRUE)</f>
        <v>9.3860000000000002E-3</v>
      </c>
    </row>
    <row r="11" spans="1:4" x14ac:dyDescent="0.25">
      <c r="A11" t="s">
        <v>122</v>
      </c>
      <c r="B11" t="e" vm="129">
        <v>#VALUE!</v>
      </c>
      <c r="C11" s="1" cm="1">
        <f t="array" aca="1" ref="C11" ca="1">_FV(B11,"Price")</f>
        <v>55.708799999999997</v>
      </c>
      <c r="D11" s="2" cm="1">
        <f t="array" aca="1" ref="D11" ca="1">_FV(B11,"Change (%)",TRUE)</f>
        <v>8.4869999999999998E-3</v>
      </c>
    </row>
    <row r="12" spans="1:4" x14ac:dyDescent="0.25">
      <c r="A12" t="s">
        <v>116</v>
      </c>
      <c r="B12" t="e" vm="130">
        <v>#VALUE!</v>
      </c>
      <c r="C12" s="1" cm="1">
        <f t="array" aca="1" ref="C12" ca="1">_FV(B12,"Price")</f>
        <v>60.4773</v>
      </c>
      <c r="D12" s="2" cm="1">
        <f t="array" aca="1" ref="D12" ca="1">_FV(B12,"Change (%)",TRUE)</f>
        <v>7.7000000000000002E-3</v>
      </c>
    </row>
    <row r="13" spans="1:4" x14ac:dyDescent="0.25">
      <c r="A13" t="s">
        <v>129</v>
      </c>
      <c r="B13" t="e" vm="131">
        <v>#VALUE!</v>
      </c>
      <c r="C13" s="1" cm="1">
        <f t="array" aca="1" ref="C13" ca="1">_FV(B13,"Price")</f>
        <v>11.22</v>
      </c>
      <c r="D13" s="2" cm="1">
        <f t="array" aca="1" ref="D13" ca="1">_FV(B13,"Change (%)",TRUE)</f>
        <v>6.2780000000000006E-3</v>
      </c>
    </row>
    <row r="14" spans="1:4" x14ac:dyDescent="0.25">
      <c r="A14" t="s">
        <v>113</v>
      </c>
      <c r="B14" t="e" vm="132">
        <v>#VALUE!</v>
      </c>
      <c r="C14" s="1" cm="1">
        <f t="array" aca="1" ref="C14" ca="1">_FV(B14,"Price")</f>
        <v>18.649999999999999</v>
      </c>
      <c r="D14" s="2" cm="1">
        <f t="array" aca="1" ref="D14" ca="1">_FV(B14,"Change (%)",TRUE)</f>
        <v>5.6620000000000004E-3</v>
      </c>
    </row>
    <row r="15" spans="1:4" x14ac:dyDescent="0.25">
      <c r="A15" t="s">
        <v>125</v>
      </c>
      <c r="B15" t="e" vm="133">
        <v>#VALUE!</v>
      </c>
      <c r="C15" s="1" cm="1">
        <f t="array" aca="1" ref="C15" ca="1">_FV(B15,"Price")</f>
        <v>40.6188</v>
      </c>
      <c r="D15" s="2" cm="1">
        <f t="array" aca="1" ref="D15" ca="1">_FV(B15,"Change (%)",TRUE)</f>
        <v>5.4159999999999998E-3</v>
      </c>
    </row>
    <row r="16" spans="1:4" x14ac:dyDescent="0.25">
      <c r="A16" t="s">
        <v>157</v>
      </c>
      <c r="B16" t="e" vm="134">
        <v>#VALUE!</v>
      </c>
      <c r="C16" s="1" cm="1">
        <f t="array" aca="1" ref="C16" ca="1">_FV(B16,"Price")</f>
        <v>306.62</v>
      </c>
      <c r="D16" s="2" cm="1">
        <f t="array" aca="1" ref="D16" ca="1">_FV(B16,"Change (%)",TRUE)</f>
        <v>4.7190000000000001E-3</v>
      </c>
    </row>
    <row r="17" spans="1:4" x14ac:dyDescent="0.25">
      <c r="A17" t="s">
        <v>123</v>
      </c>
      <c r="B17" t="e" vm="135">
        <v>#VALUE!</v>
      </c>
      <c r="C17" s="1" cm="1">
        <f t="array" aca="1" ref="C17" ca="1">_FV(B17,"Price")</f>
        <v>73.09</v>
      </c>
      <c r="D17" s="2" cm="1">
        <f t="array" aca="1" ref="D17" ca="1">_FV(B17,"Change (%)",TRUE)</f>
        <v>2.1940000000000002E-3</v>
      </c>
    </row>
    <row r="18" spans="1:4" x14ac:dyDescent="0.25">
      <c r="A18" t="s">
        <v>121</v>
      </c>
      <c r="B18" t="e" vm="136">
        <v>#VALUE!</v>
      </c>
      <c r="C18" s="1" cm="1">
        <f t="array" aca="1" ref="C18" ca="1">_FV(B18,"Price")</f>
        <v>21.67</v>
      </c>
      <c r="D18" s="2" cm="1">
        <f t="array" aca="1" ref="D18" ca="1">_FV(B18,"Change (%)",TRUE)</f>
        <v>9.2380000000000001E-4</v>
      </c>
    </row>
    <row r="19" spans="1:4" x14ac:dyDescent="0.25">
      <c r="A19" t="s">
        <v>128</v>
      </c>
      <c r="B19" t="e" vm="137">
        <v>#VALUE!</v>
      </c>
      <c r="C19" s="1" cm="1">
        <f t="array" aca="1" ref="C19" ca="1">_FV(B19,"Price")</f>
        <v>27.39</v>
      </c>
      <c r="D19" s="2" cm="1">
        <f t="array" aca="1" ref="D19" ca="1">_FV(B19,"Change (%)",TRUE)</f>
        <v>-3.2750000000000001E-3</v>
      </c>
    </row>
    <row r="20" spans="1:4" x14ac:dyDescent="0.25">
      <c r="A20" t="s">
        <v>124</v>
      </c>
      <c r="B20" t="e" vm="138">
        <v>#VALUE!</v>
      </c>
      <c r="C20" s="1" cm="1">
        <f t="array" aca="1" ref="C20" ca="1">_FV(B20,"Price")</f>
        <v>21.83</v>
      </c>
      <c r="D20" s="2" cm="1">
        <f t="array" aca="1" ref="D20" ca="1">_FV(B20,"Change (%)",TRUE)</f>
        <v>-7.2760000000000003E-3</v>
      </c>
    </row>
    <row r="21" spans="1:4" x14ac:dyDescent="0.25">
      <c r="A21" t="s">
        <v>126</v>
      </c>
      <c r="B21" t="e" vm="139">
        <v>#VALUE!</v>
      </c>
      <c r="C21" s="1" cm="1">
        <f t="array" aca="1" ref="C21" ca="1">_FV(B21,"Price")</f>
        <v>4.6100000000000003</v>
      </c>
      <c r="D21" s="2" cm="1">
        <f t="array" aca="1" ref="D21" ca="1">_FV(B21,"Change (%)",TRUE)</f>
        <v>-1.4957E-2</v>
      </c>
    </row>
    <row r="22" spans="1:4" x14ac:dyDescent="0.25">
      <c r="A22" t="s">
        <v>127</v>
      </c>
      <c r="B22" t="e" vm="140">
        <v>#VALUE!</v>
      </c>
      <c r="C22" s="1" cm="1">
        <f t="array" aca="1" ref="C22" ca="1">_FV(B22,"Price")</f>
        <v>18.260000000000002</v>
      </c>
      <c r="D22" s="2" cm="1">
        <f t="array" aca="1" ref="D22" ca="1">_FV(B22,"Change (%)",TRUE)</f>
        <v>-1.9334E-2</v>
      </c>
    </row>
    <row r="23" spans="1:4" x14ac:dyDescent="0.25">
      <c r="A23" t="s">
        <v>109</v>
      </c>
      <c r="B23" t="e" vm="141">
        <v>#VALUE!</v>
      </c>
      <c r="C23" s="1" cm="1">
        <f t="array" aca="1" ref="C23" ca="1">_FV(B23,"Price")</f>
        <v>16.559999999999999</v>
      </c>
      <c r="D23" s="2" cm="1">
        <f t="array" aca="1" ref="D23" ca="1">_FV(B23,"Change (%)",TRUE)</f>
        <v>-3.6088000000000002E-2</v>
      </c>
    </row>
  </sheetData>
  <autoFilter ref="A1:D1" xr:uid="{55E03C8B-EE30-4732-A32E-6667AFF9D7E8}">
    <sortState xmlns:xlrd2="http://schemas.microsoft.com/office/spreadsheetml/2017/richdata2" ref="A2:D23">
      <sortCondition descending="1" ref="D1"/>
    </sortState>
  </autoFilter>
  <conditionalFormatting sqref="D2:D23">
    <cfRule type="cellIs" dxfId="17" priority="1" operator="greaterThan">
      <formula>0</formula>
    </cfRule>
    <cfRule type="cellIs" dxfId="16" priority="2" operator="lessThan">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E67DB-BF4B-4E65-9DEE-2D4E2BF5B5DB}">
  <dimension ref="A1:D29"/>
  <sheetViews>
    <sheetView workbookViewId="0">
      <selection activeCell="D1" sqref="D1"/>
    </sheetView>
  </sheetViews>
  <sheetFormatPr defaultRowHeight="15" x14ac:dyDescent="0.25"/>
  <cols>
    <col min="2" max="2" width="38" bestFit="1" customWidth="1"/>
  </cols>
  <sheetData>
    <row r="1" spans="1:4" x14ac:dyDescent="0.25">
      <c r="A1" t="s">
        <v>0</v>
      </c>
      <c r="B1" t="s">
        <v>190</v>
      </c>
      <c r="C1" t="s">
        <v>188</v>
      </c>
      <c r="D1" t="s">
        <v>189</v>
      </c>
    </row>
    <row r="2" spans="1:4" x14ac:dyDescent="0.25">
      <c r="A2" t="s">
        <v>149</v>
      </c>
      <c r="B2" t="e" vm="142">
        <v>#VALUE!</v>
      </c>
      <c r="C2" s="1" cm="1">
        <f t="array" aca="1" ref="C2" ca="1">_FV(B2,"Price")</f>
        <v>66.48</v>
      </c>
      <c r="D2" s="2" cm="1">
        <f t="array" aca="1" ref="D2" ca="1">_FV(B2,"Change (%)",TRUE)</f>
        <v>1.3878E-2</v>
      </c>
    </row>
    <row r="3" spans="1:4" x14ac:dyDescent="0.25">
      <c r="A3" t="s">
        <v>130</v>
      </c>
      <c r="B3" t="e" vm="11">
        <v>#VALUE!</v>
      </c>
      <c r="C3" s="1" cm="1">
        <f t="array" aca="1" ref="C3" ca="1">_FV(B3,"Price")</f>
        <v>37.06</v>
      </c>
      <c r="D3" s="2" cm="1">
        <f t="array" aca="1" ref="D3" ca="1">_FV(B3,"Change (%)",TRUE)</f>
        <v>1.2845000000000001E-2</v>
      </c>
    </row>
    <row r="4" spans="1:4" x14ac:dyDescent="0.25">
      <c r="A4" t="s">
        <v>137</v>
      </c>
      <c r="B4" t="e" vm="143">
        <v>#VALUE!</v>
      </c>
      <c r="C4" s="1" cm="1">
        <f t="array" aca="1" ref="C4" ca="1">_FV(B4,"Price")</f>
        <v>54.71</v>
      </c>
      <c r="D4" s="2" cm="1">
        <f t="array" aca="1" ref="D4" ca="1">_FV(B4,"Change (%)",TRUE)</f>
        <v>1.1089E-2</v>
      </c>
    </row>
    <row r="5" spans="1:4" x14ac:dyDescent="0.25">
      <c r="A5" t="s">
        <v>132</v>
      </c>
      <c r="B5" t="e" vm="144">
        <v>#VALUE!</v>
      </c>
      <c r="C5" s="1" cm="1">
        <f t="array" aca="1" ref="C5" ca="1">_FV(B5,"Price")</f>
        <v>19.739999999999998</v>
      </c>
      <c r="D5" s="2" cm="1">
        <f t="array" aca="1" ref="D5" ca="1">_FV(B5,"Change (%)",TRUE)</f>
        <v>9.7190000000000002E-3</v>
      </c>
    </row>
    <row r="6" spans="1:4" x14ac:dyDescent="0.25">
      <c r="A6" t="s">
        <v>138</v>
      </c>
      <c r="B6" t="e" vm="145">
        <v>#VALUE!</v>
      </c>
      <c r="C6" s="1" cm="1">
        <f t="array" aca="1" ref="C6" ca="1">_FV(B6,"Price")</f>
        <v>47.32</v>
      </c>
      <c r="D6" s="2" cm="1">
        <f t="array" aca="1" ref="D6" ca="1">_FV(B6,"Change (%)",TRUE)</f>
        <v>8.5249999999999996E-3</v>
      </c>
    </row>
    <row r="7" spans="1:4" x14ac:dyDescent="0.25">
      <c r="A7" t="s">
        <v>142</v>
      </c>
      <c r="B7" t="e" vm="146">
        <v>#VALUE!</v>
      </c>
      <c r="C7" s="1" cm="1">
        <f t="array" aca="1" ref="C7" ca="1">_FV(B7,"Price")</f>
        <v>54.02</v>
      </c>
      <c r="D7" s="2" cm="1">
        <f t="array" aca="1" ref="D7" ca="1">_FV(B7,"Change (%)",TRUE)</f>
        <v>7.2719999999999998E-3</v>
      </c>
    </row>
    <row r="8" spans="1:4" x14ac:dyDescent="0.25">
      <c r="A8" t="s">
        <v>134</v>
      </c>
      <c r="B8" t="e" vm="147">
        <v>#VALUE!</v>
      </c>
      <c r="C8" s="1" cm="1">
        <f t="array" aca="1" ref="C8" ca="1">_FV(B8,"Price")</f>
        <v>55.25</v>
      </c>
      <c r="D8" s="2" cm="1">
        <f t="array" aca="1" ref="D8" ca="1">_FV(B8,"Change (%)",TRUE)</f>
        <v>6.1919999999999996E-3</v>
      </c>
    </row>
    <row r="9" spans="1:4" x14ac:dyDescent="0.25">
      <c r="A9" t="s">
        <v>136</v>
      </c>
      <c r="B9" t="e" vm="148">
        <v>#VALUE!</v>
      </c>
      <c r="C9" s="1" cm="1">
        <f t="array" aca="1" ref="C9" ca="1">_FV(B9,"Price")</f>
        <v>26.44</v>
      </c>
      <c r="D9" s="2" cm="1">
        <f t="array" aca="1" ref="D9" ca="1">_FV(B9,"Change (%)",TRUE)</f>
        <v>2.6550000000000002E-3</v>
      </c>
    </row>
    <row r="10" spans="1:4" x14ac:dyDescent="0.25">
      <c r="A10" t="s">
        <v>144</v>
      </c>
      <c r="B10" t="e" vm="149">
        <v>#VALUE!</v>
      </c>
      <c r="C10" s="1" cm="1">
        <f t="array" aca="1" ref="C10" ca="1">_FV(B10,"Price")</f>
        <v>66.44</v>
      </c>
      <c r="D10" s="2" cm="1">
        <f t="array" aca="1" ref="D10" ca="1">_FV(B10,"Change (%)",TRUE)</f>
        <v>2.4139999999999999E-3</v>
      </c>
    </row>
    <row r="11" spans="1:4" x14ac:dyDescent="0.25">
      <c r="A11" t="s">
        <v>156</v>
      </c>
      <c r="B11" t="e" vm="150">
        <v>#VALUE!</v>
      </c>
      <c r="C11" s="1" cm="1">
        <f t="array" aca="1" ref="C11" ca="1">_FV(B11,"Price")</f>
        <v>18.71</v>
      </c>
      <c r="D11" s="2" cm="1">
        <f t="array" aca="1" ref="D11" ca="1">_FV(B11,"Change (%)",TRUE)</f>
        <v>2.1419999999999998E-3</v>
      </c>
    </row>
    <row r="12" spans="1:4" x14ac:dyDescent="0.25">
      <c r="A12" t="s">
        <v>131</v>
      </c>
      <c r="B12" t="e" vm="151">
        <v>#VALUE!</v>
      </c>
      <c r="C12" s="1" cm="1">
        <f t="array" aca="1" ref="C12" ca="1">_FV(B12,"Price")</f>
        <v>31.66</v>
      </c>
      <c r="D12" s="2" cm="1">
        <f t="array" aca="1" ref="D12" ca="1">_FV(B12,"Change (%)",TRUE)</f>
        <v>1.5820000000000001E-3</v>
      </c>
    </row>
    <row r="13" spans="1:4" x14ac:dyDescent="0.25">
      <c r="A13" t="s">
        <v>155</v>
      </c>
      <c r="B13" t="e" vm="152">
        <v>#VALUE!</v>
      </c>
      <c r="C13" s="1" cm="1">
        <f t="array" aca="1" ref="C13" ca="1">_FV(B13,"Price")</f>
        <v>38.57</v>
      </c>
      <c r="D13" s="2" cm="1">
        <f t="array" aca="1" ref="D13" ca="1">_FV(B13,"Change (%)",TRUE)</f>
        <v>1.5579999999999999E-3</v>
      </c>
    </row>
    <row r="14" spans="1:4" x14ac:dyDescent="0.25">
      <c r="A14" t="s">
        <v>147</v>
      </c>
      <c r="B14" t="e" vm="9">
        <v>#VALUE!</v>
      </c>
      <c r="C14" s="1" cm="1">
        <f t="array" aca="1" ref="C14" ca="1">_FV(B14,"Price")</f>
        <v>73.930000000000007</v>
      </c>
      <c r="D14" s="2" cm="1">
        <f t="array" aca="1" ref="D14" ca="1">_FV(B14,"Change (%)",TRUE)</f>
        <v>1.49E-3</v>
      </c>
    </row>
    <row r="15" spans="1:4" x14ac:dyDescent="0.25">
      <c r="A15" t="s">
        <v>152</v>
      </c>
      <c r="B15" t="e" vm="153">
        <v>#VALUE!</v>
      </c>
      <c r="C15" s="1" cm="1">
        <f t="array" aca="1" ref="C15" ca="1">_FV(B15,"Price")</f>
        <v>43.08</v>
      </c>
      <c r="D15" s="2" cm="1">
        <f t="array" aca="1" ref="D15" ca="1">_FV(B15,"Change (%)",TRUE)</f>
        <v>9.2939999999999993E-4</v>
      </c>
    </row>
    <row r="16" spans="1:4" x14ac:dyDescent="0.25">
      <c r="A16" t="s">
        <v>5</v>
      </c>
      <c r="B16" t="e" vm="1">
        <v>#VALUE!</v>
      </c>
      <c r="C16" s="1" cm="1">
        <f t="array" aca="1" ref="C16" ca="1">_FV(B16,"Price")</f>
        <v>599.67999999999995</v>
      </c>
      <c r="D16" s="2" cm="1">
        <f t="array" aca="1" ref="D16" ca="1">_FV(B16,"Change (%)",TRUE)</f>
        <v>9.0130000000000006E-4</v>
      </c>
    </row>
    <row r="17" spans="1:4" x14ac:dyDescent="0.25">
      <c r="A17" t="s">
        <v>145</v>
      </c>
      <c r="B17" t="e" vm="154">
        <v>#VALUE!</v>
      </c>
      <c r="C17" s="1" cm="1">
        <f t="array" aca="1" ref="C17" ca="1">_FV(B17,"Price")</f>
        <v>48.64</v>
      </c>
      <c r="D17" s="2" cm="1">
        <f t="array" aca="1" ref="D17" ca="1">_FV(B17,"Change (%)",TRUE)</f>
        <v>0</v>
      </c>
    </row>
    <row r="18" spans="1:4" x14ac:dyDescent="0.25">
      <c r="A18" t="s">
        <v>146</v>
      </c>
      <c r="B18" t="e" vm="155">
        <v>#VALUE!</v>
      </c>
      <c r="C18" s="1" cm="1">
        <f t="array" aca="1" ref="C18" ca="1">_FV(B18,"Price")</f>
        <v>40.340000000000003</v>
      </c>
      <c r="D18" s="2" cm="1">
        <f t="array" aca="1" ref="D18" ca="1">_FV(B18,"Change (%)",TRUE)</f>
        <v>-2.4780000000000001E-4</v>
      </c>
    </row>
    <row r="19" spans="1:4" x14ac:dyDescent="0.25">
      <c r="A19" t="s">
        <v>141</v>
      </c>
      <c r="B19" t="e" vm="156">
        <v>#VALUE!</v>
      </c>
      <c r="C19" s="1" cm="1">
        <f t="array" aca="1" ref="C19" ca="1">_FV(B19,"Price")</f>
        <v>55.62</v>
      </c>
      <c r="D19" s="2" cm="1">
        <f t="array" aca="1" ref="D19" ca="1">_FV(B19,"Change (%)",TRUE)</f>
        <v>-3.5950000000000001E-4</v>
      </c>
    </row>
    <row r="20" spans="1:4" x14ac:dyDescent="0.25">
      <c r="A20" t="s">
        <v>148</v>
      </c>
      <c r="B20" t="e" vm="12">
        <v>#VALUE!</v>
      </c>
      <c r="C20" s="1" cm="1">
        <f t="array" aca="1" ref="C20" ca="1">_FV(B20,"Price")</f>
        <v>45.3</v>
      </c>
      <c r="D20" s="2" cm="1">
        <f t="array" aca="1" ref="D20" ca="1">_FV(B20,"Change (%)",TRUE)</f>
        <v>-1.983E-3</v>
      </c>
    </row>
    <row r="21" spans="1:4" x14ac:dyDescent="0.25">
      <c r="A21" t="s">
        <v>151</v>
      </c>
      <c r="B21" t="e" vm="13">
        <v>#VALUE!</v>
      </c>
      <c r="C21" s="1" cm="1">
        <f t="array" aca="1" ref="C21" ca="1">_FV(B21,"Price")</f>
        <v>61.09</v>
      </c>
      <c r="D21" s="2" cm="1">
        <f t="array" aca="1" ref="D21" ca="1">_FV(B21,"Change (%)",TRUE)</f>
        <v>-2.4490000000000002E-3</v>
      </c>
    </row>
    <row r="22" spans="1:4" x14ac:dyDescent="0.25">
      <c r="A22" t="s">
        <v>139</v>
      </c>
      <c r="B22" t="e" vm="157">
        <v>#VALUE!</v>
      </c>
      <c r="C22" s="1" cm="1">
        <f t="array" aca="1" ref="C22" ca="1">_FV(B22,"Price")</f>
        <v>48.18</v>
      </c>
      <c r="D22" s="2" cm="1">
        <f t="array" aca="1" ref="D22" ca="1">_FV(B22,"Change (%)",TRUE)</f>
        <v>-2.4840000000000001E-3</v>
      </c>
    </row>
    <row r="23" spans="1:4" x14ac:dyDescent="0.25">
      <c r="A23" t="s">
        <v>154</v>
      </c>
      <c r="B23" t="e" vm="158">
        <v>#VALUE!</v>
      </c>
      <c r="C23" s="1" cm="1">
        <f t="array" aca="1" ref="C23" ca="1">_FV(B23,"Price")</f>
        <v>86.200500000000005</v>
      </c>
      <c r="D23" s="2" cm="1">
        <f t="array" aca="1" ref="D23" ca="1">_FV(B23,"Change (%)",TRUE)</f>
        <v>-2.6550000000000002E-3</v>
      </c>
    </row>
    <row r="24" spans="1:4" x14ac:dyDescent="0.25">
      <c r="A24" t="s">
        <v>133</v>
      </c>
      <c r="B24" t="e" vm="159">
        <v>#VALUE!</v>
      </c>
      <c r="C24" s="1" cm="1">
        <f t="array" aca="1" ref="C24" ca="1">_FV(B24,"Price")</f>
        <v>43.5</v>
      </c>
      <c r="D24" s="2" cm="1">
        <f t="array" aca="1" ref="D24" ca="1">_FV(B24,"Change (%)",TRUE)</f>
        <v>-3.2079999999999999E-3</v>
      </c>
    </row>
    <row r="25" spans="1:4" x14ac:dyDescent="0.25">
      <c r="A25" t="s">
        <v>143</v>
      </c>
      <c r="B25" t="e" vm="160">
        <v>#VALUE!</v>
      </c>
      <c r="C25" s="1" cm="1">
        <f t="array" aca="1" ref="C25" ca="1">_FV(B25,"Price")</f>
        <v>21.51</v>
      </c>
      <c r="D25" s="2" cm="1">
        <f t="array" aca="1" ref="D25" ca="1">_FV(B25,"Change (%)",TRUE)</f>
        <v>-3.2440000000000004E-3</v>
      </c>
    </row>
    <row r="26" spans="1:4" x14ac:dyDescent="0.25">
      <c r="A26" t="s">
        <v>153</v>
      </c>
      <c r="B26" t="e" vm="161">
        <v>#VALUE!</v>
      </c>
      <c r="C26" s="1" cm="1">
        <f t="array" aca="1" ref="C26" ca="1">_FV(B26,"Price")</f>
        <v>27.62</v>
      </c>
      <c r="D26" s="2" cm="1">
        <f t="array" aca="1" ref="D26" ca="1">_FV(B26,"Change (%)",TRUE)</f>
        <v>-3.6080000000000001E-3</v>
      </c>
    </row>
    <row r="27" spans="1:4" x14ac:dyDescent="0.25">
      <c r="A27" t="s">
        <v>140</v>
      </c>
      <c r="B27" t="e" vm="162">
        <v>#VALUE!</v>
      </c>
      <c r="C27" s="1" cm="1">
        <f t="array" aca="1" ref="C27" ca="1">_FV(B27,"Price")</f>
        <v>26.21</v>
      </c>
      <c r="D27" s="2" cm="1">
        <f t="array" aca="1" ref="D27" ca="1">_FV(B27,"Change (%)",TRUE)</f>
        <v>-3.8010000000000001E-3</v>
      </c>
    </row>
    <row r="28" spans="1:4" x14ac:dyDescent="0.25">
      <c r="A28" t="s">
        <v>150</v>
      </c>
      <c r="B28" t="e" vm="163">
        <v>#VALUE!</v>
      </c>
      <c r="C28" s="1" cm="1">
        <f t="array" aca="1" ref="C28" ca="1">_FV(B28,"Price")</f>
        <v>42.31</v>
      </c>
      <c r="D28" s="2" cm="1">
        <f t="array" aca="1" ref="D28" ca="1">_FV(B28,"Change (%)",TRUE)</f>
        <v>-4.9389999999999998E-3</v>
      </c>
    </row>
    <row r="29" spans="1:4" x14ac:dyDescent="0.25">
      <c r="A29" t="s">
        <v>135</v>
      </c>
      <c r="B29" t="e" vm="164">
        <v>#VALUE!</v>
      </c>
      <c r="C29" s="1" cm="1">
        <f t="array" aca="1" ref="C29" ca="1">_FV(B29,"Price")</f>
        <v>13.275</v>
      </c>
      <c r="D29" s="2" cm="1">
        <f t="array" aca="1" ref="D29" ca="1">_FV(B29,"Change (%)",TRUE)</f>
        <v>-2.6760000000000003E-2</v>
      </c>
    </row>
  </sheetData>
  <autoFilter ref="A1:D1" xr:uid="{F72E67DB-BF4B-4E65-9DEE-2D4E2BF5B5DB}">
    <sortState xmlns:xlrd2="http://schemas.microsoft.com/office/spreadsheetml/2017/richdata2" ref="A2:D29">
      <sortCondition descending="1" ref="D1"/>
    </sortState>
  </autoFilter>
  <sortState xmlns:xlrd2="http://schemas.microsoft.com/office/spreadsheetml/2017/richdata2" ref="A2:B30">
    <sortCondition ref="A2:A30"/>
  </sortState>
  <conditionalFormatting sqref="D2:D29">
    <cfRule type="cellIs" dxfId="15" priority="1" operator="greaterThan">
      <formula>0</formula>
    </cfRule>
    <cfRule type="cellIs" dxfId="14" priority="2" operator="lessThan">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694C-A78D-430A-B98B-CFC17F698E01}">
  <dimension ref="A1:D9"/>
  <sheetViews>
    <sheetView workbookViewId="0">
      <selection sqref="A1:XFD1"/>
    </sheetView>
  </sheetViews>
  <sheetFormatPr defaultRowHeight="15" x14ac:dyDescent="0.25"/>
  <cols>
    <col min="2" max="2" width="36.140625" bestFit="1" customWidth="1"/>
  </cols>
  <sheetData>
    <row r="1" spans="1:4" x14ac:dyDescent="0.25">
      <c r="A1" t="s">
        <v>0</v>
      </c>
      <c r="B1" t="s">
        <v>190</v>
      </c>
      <c r="C1" t="s">
        <v>188</v>
      </c>
      <c r="D1" t="s">
        <v>189</v>
      </c>
    </row>
    <row r="2" spans="1:4" x14ac:dyDescent="0.25">
      <c r="A2" t="s">
        <v>160</v>
      </c>
      <c r="B2" t="e" vm="165">
        <v>#VALUE!</v>
      </c>
      <c r="C2" s="1" cm="1">
        <f t="array" aca="1" ref="C2" ca="1">_FV(B2,"Price")</f>
        <v>64.58</v>
      </c>
      <c r="D2" s="2" cm="1">
        <f t="array" aca="1" ref="D2" ca="1">_FV(B2,"Change (%)",TRUE)</f>
        <v>3.5739999999999999E-3</v>
      </c>
    </row>
    <row r="3" spans="1:4" x14ac:dyDescent="0.25">
      <c r="A3" t="s">
        <v>163</v>
      </c>
      <c r="B3" t="e" vm="166">
        <v>#VALUE!</v>
      </c>
      <c r="C3" s="1" cm="1">
        <f t="array" aca="1" ref="C3" ca="1">_FV(B3,"Price")</f>
        <v>63.76</v>
      </c>
      <c r="D3" s="2" cm="1">
        <f t="array" aca="1" ref="D3" ca="1">_FV(B3,"Change (%)",TRUE)</f>
        <v>1.7280000000000002E-3</v>
      </c>
    </row>
    <row r="4" spans="1:4" x14ac:dyDescent="0.25">
      <c r="A4" t="s">
        <v>158</v>
      </c>
      <c r="B4" t="e" vm="167">
        <v>#VALUE!</v>
      </c>
      <c r="C4" s="1" cm="1">
        <f t="array" aca="1" ref="C4" ca="1">_FV(B4,"Price")</f>
        <v>130.37</v>
      </c>
      <c r="D4" s="2" cm="1">
        <f t="array" aca="1" ref="D4" ca="1">_FV(B4,"Change (%)",TRUE)</f>
        <v>2.3059999999999999E-3</v>
      </c>
    </row>
    <row r="5" spans="1:4" x14ac:dyDescent="0.25">
      <c r="A5" t="s">
        <v>161</v>
      </c>
      <c r="B5" t="e" vm="168">
        <v>#VALUE!</v>
      </c>
      <c r="C5" s="1" cm="1">
        <f t="array" aca="1" ref="C5" ca="1">_FV(B5,"Price")</f>
        <v>105.43</v>
      </c>
      <c r="D5" s="2" cm="1">
        <f t="array" aca="1" ref="D5" ca="1">_FV(B5,"Change (%)",TRUE)</f>
        <v>2.3769999999999998E-3</v>
      </c>
    </row>
    <row r="6" spans="1:4" x14ac:dyDescent="0.25">
      <c r="A6" t="s">
        <v>164</v>
      </c>
      <c r="B6" t="e" vm="169">
        <v>#VALUE!</v>
      </c>
      <c r="C6" s="1" cm="1">
        <f t="array" aca="1" ref="C6" ca="1">_FV(B6,"Price")</f>
        <v>107.97499999999999</v>
      </c>
      <c r="D6" s="2" cm="1">
        <f t="array" aca="1" ref="D6" ca="1">_FV(B6,"Change (%)",TRUE)</f>
        <v>6.0240000000000001E-4</v>
      </c>
    </row>
    <row r="7" spans="1:4" x14ac:dyDescent="0.25">
      <c r="A7" t="s">
        <v>162</v>
      </c>
      <c r="B7" t="e" vm="170">
        <v>#VALUE!</v>
      </c>
      <c r="C7" s="1" cm="1">
        <f t="array" aca="1" ref="C7" ca="1">_FV(B7,"Price")</f>
        <v>71.459999999999994</v>
      </c>
      <c r="D7" s="2" cm="1">
        <f t="array" aca="1" ref="D7" ca="1">_FV(B7,"Change (%)",TRUE)</f>
        <v>8.4029999999999999E-4</v>
      </c>
    </row>
    <row r="8" spans="1:4" x14ac:dyDescent="0.25">
      <c r="A8" t="s">
        <v>159</v>
      </c>
      <c r="B8" t="e" vm="171">
        <v>#VALUE!</v>
      </c>
      <c r="C8" s="1" cm="1">
        <f t="array" aca="1" ref="C8" ca="1">_FV(B8,"Price")</f>
        <v>18.457999999999998</v>
      </c>
      <c r="D8" s="2" cm="1">
        <f t="array" aca="1" ref="D8" ca="1">_FV(B8,"Change (%)",TRUE)</f>
        <v>6.7769999999999994E-4</v>
      </c>
    </row>
    <row r="9" spans="1:4" x14ac:dyDescent="0.25">
      <c r="A9" t="s">
        <v>165</v>
      </c>
      <c r="B9" t="e" vm="172">
        <v>#VALUE!</v>
      </c>
      <c r="C9" s="1" cm="1">
        <f t="array" aca="1" ref="C9" ca="1">_FV(B9,"Price")</f>
        <v>27.37</v>
      </c>
      <c r="D9" s="2" cm="1">
        <f t="array" aca="1" ref="D9" ca="1">_FV(B9,"Change (%)",TRUE)</f>
        <v>-2.5509999999999999E-3</v>
      </c>
    </row>
  </sheetData>
  <autoFilter ref="A1:D1" xr:uid="{7B0B694C-A78D-430A-B98B-CFC17F698E01}">
    <sortState xmlns:xlrd2="http://schemas.microsoft.com/office/spreadsheetml/2017/richdata2" ref="A2:D9">
      <sortCondition descending="1" ref="D1"/>
    </sortState>
  </autoFilter>
  <conditionalFormatting sqref="D2:D9">
    <cfRule type="cellIs" dxfId="13" priority="1" operator="greaterThan">
      <formula>0</formula>
    </cfRule>
    <cfRule type="cellIs" dxfId="12" priority="2" operator="lessThan">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159BF-C17B-4581-ACC0-B3A7FA088775}">
  <dimension ref="A1:D4"/>
  <sheetViews>
    <sheetView workbookViewId="0">
      <selection activeCell="B5" sqref="B5"/>
    </sheetView>
  </sheetViews>
  <sheetFormatPr defaultRowHeight="15" x14ac:dyDescent="0.25"/>
  <cols>
    <col min="2" max="2" width="39.85546875" bestFit="1" customWidth="1"/>
  </cols>
  <sheetData>
    <row r="1" spans="1:4" x14ac:dyDescent="0.25">
      <c r="A1" t="s">
        <v>0</v>
      </c>
      <c r="B1" t="s">
        <v>190</v>
      </c>
      <c r="C1" t="s">
        <v>188</v>
      </c>
      <c r="D1" t="s">
        <v>189</v>
      </c>
    </row>
    <row r="2" spans="1:4" x14ac:dyDescent="0.25">
      <c r="A2" t="s">
        <v>166</v>
      </c>
      <c r="B2" t="e" vm="173">
        <v>#VALUE!</v>
      </c>
      <c r="C2" s="1" cm="1">
        <f t="array" aca="1" ref="C2" ca="1">_FV(B2,"Price")</f>
        <v>34.99</v>
      </c>
      <c r="D2" s="2" cm="1">
        <f t="array" aca="1" ref="D2" ca="1">_FV(B2,"Change (%)",TRUE)</f>
        <v>1.7180000000000001E-3</v>
      </c>
    </row>
    <row r="3" spans="1:4" x14ac:dyDescent="0.25">
      <c r="A3" t="s">
        <v>192</v>
      </c>
      <c r="B3" t="e" vm="6">
        <v>#VALUE!</v>
      </c>
      <c r="C3" s="1" cm="1">
        <f t="array" aca="1" ref="C3" ca="1">_FV(B3,"Price")</f>
        <v>61.77</v>
      </c>
      <c r="D3" s="2" cm="1">
        <f t="array" aca="1" ref="D3" ca="1">_FV(B3,"Change (%)",TRUE)</f>
        <v>4.2355999999999998E-2</v>
      </c>
    </row>
    <row r="4" spans="1:4" x14ac:dyDescent="0.25">
      <c r="A4" t="s">
        <v>200</v>
      </c>
      <c r="B4" t="e" vm="174">
        <v>#VALUE!</v>
      </c>
      <c r="C4" s="1" cm="1">
        <f t="array" aca="1" ref="C4" ca="1">_FV(B4,"Price")</f>
        <v>19.559999999999999</v>
      </c>
      <c r="D4" s="2" cm="1">
        <f t="array" aca="1" ref="D4" ca="1">_FV(B4,"Change (%)",TRUE)</f>
        <v>3.9871999999999998E-2</v>
      </c>
    </row>
  </sheetData>
  <autoFilter ref="A1:D1" xr:uid="{6B7159BF-C17B-4581-ACC0-B3A7FA088775}">
    <sortState xmlns:xlrd2="http://schemas.microsoft.com/office/spreadsheetml/2017/richdata2" ref="A2:D4">
      <sortCondition descending="1" ref="D1"/>
    </sortState>
  </autoFilter>
  <conditionalFormatting sqref="D2:D4">
    <cfRule type="cellIs" dxfId="11" priority="1" operator="greaterThan">
      <formula>0</formula>
    </cfRule>
    <cfRule type="cellIs" dxfId="10" priority="2" operator="lessThan">
      <formula>0</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A15CA-7FF8-4393-8CB8-D17BD69AF8FA}">
  <dimension ref="A1:D3"/>
  <sheetViews>
    <sheetView workbookViewId="0">
      <selection sqref="A1:XFD1"/>
    </sheetView>
  </sheetViews>
  <sheetFormatPr defaultRowHeight="15" x14ac:dyDescent="0.25"/>
  <cols>
    <col min="2" max="2" width="37.7109375" bestFit="1" customWidth="1"/>
  </cols>
  <sheetData>
    <row r="1" spans="1:4" x14ac:dyDescent="0.25">
      <c r="A1" t="s">
        <v>0</v>
      </c>
      <c r="B1" t="s">
        <v>190</v>
      </c>
      <c r="C1" t="s">
        <v>188</v>
      </c>
      <c r="D1" t="s">
        <v>189</v>
      </c>
    </row>
    <row r="2" spans="1:4" x14ac:dyDescent="0.25">
      <c r="A2" t="s">
        <v>179</v>
      </c>
      <c r="B2" t="e" vm="175">
        <v>#VALUE!</v>
      </c>
      <c r="C2" s="1" cm="1">
        <f t="array" aca="1" ref="C2" ca="1">_FV(B2,"Price")</f>
        <v>101.95</v>
      </c>
      <c r="D2" s="2" cm="1">
        <f t="array" aca="1" ref="D2" ca="1">_FV(B2,"Change (%)",TRUE)</f>
        <v>2.2978000000000002E-2</v>
      </c>
    </row>
    <row r="3" spans="1:4" x14ac:dyDescent="0.25">
      <c r="A3" t="s">
        <v>167</v>
      </c>
      <c r="B3" t="e" vm="176">
        <v>#VALUE!</v>
      </c>
      <c r="C3" s="1" cm="1">
        <f t="array" aca="1" ref="C3" ca="1">_FV(B3,"Price")</f>
        <v>29.65</v>
      </c>
      <c r="D3" s="2" cm="1">
        <f t="array" aca="1" ref="D3" ca="1">_FV(B3,"Change (%)",TRUE)</f>
        <v>9.2589999999999999E-3</v>
      </c>
    </row>
  </sheetData>
  <autoFilter ref="A1:D1" xr:uid="{CB4A15CA-7FF8-4393-8CB8-D17BD69AF8FA}">
    <sortState xmlns:xlrd2="http://schemas.microsoft.com/office/spreadsheetml/2017/richdata2" ref="A2:D3">
      <sortCondition descending="1" ref="D1"/>
    </sortState>
  </autoFilter>
  <conditionalFormatting sqref="D2:D3">
    <cfRule type="cellIs" dxfId="9" priority="1" operator="greaterThan">
      <formula>0</formula>
    </cfRule>
    <cfRule type="cellIs" dxfId="8" priority="2" operator="lessThan">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132B-C28D-4BE0-8904-9CF58091B792}">
  <dimension ref="A1:D4"/>
  <sheetViews>
    <sheetView workbookViewId="0">
      <selection sqref="A1:XFD1"/>
    </sheetView>
  </sheetViews>
  <sheetFormatPr defaultRowHeight="15" x14ac:dyDescent="0.25"/>
  <cols>
    <col min="2" max="2" width="34.28515625" bestFit="1" customWidth="1"/>
  </cols>
  <sheetData>
    <row r="1" spans="1:4" x14ac:dyDescent="0.25">
      <c r="A1" t="s">
        <v>180</v>
      </c>
      <c r="B1" t="s">
        <v>190</v>
      </c>
      <c r="C1" t="s">
        <v>188</v>
      </c>
      <c r="D1" t="s">
        <v>189</v>
      </c>
    </row>
    <row r="2" spans="1:4" x14ac:dyDescent="0.25">
      <c r="A2" t="s">
        <v>183</v>
      </c>
      <c r="B2" t="e" vm="177">
        <v>#VALUE!</v>
      </c>
      <c r="C2" s="1" cm="1">
        <f t="array" aca="1" ref="C2" ca="1">_FV(B2,"Price")</f>
        <v>25.3</v>
      </c>
      <c r="D2" s="2" cm="1">
        <f t="array" aca="1" ref="D2" ca="1">_FV(B2,"Change (%)",TRUE)</f>
        <v>-2.5048000000000001E-2</v>
      </c>
    </row>
    <row r="3" spans="1:4" x14ac:dyDescent="0.25">
      <c r="A3" t="s">
        <v>182</v>
      </c>
      <c r="B3" t="e" vm="178">
        <v>#VALUE!</v>
      </c>
      <c r="C3" s="1" cm="1">
        <f t="array" aca="1" ref="C3" ca="1">_FV(B3,"Price")</f>
        <v>20.305</v>
      </c>
      <c r="D3" s="2" cm="1">
        <f t="array" aca="1" ref="D3" ca="1">_FV(B3,"Change (%)",TRUE)</f>
        <v>-1.6707E-2</v>
      </c>
    </row>
    <row r="4" spans="1:4" x14ac:dyDescent="0.25">
      <c r="A4" t="s">
        <v>181</v>
      </c>
      <c r="B4" t="e" vm="179">
        <v>#VALUE!</v>
      </c>
      <c r="C4" s="1" cm="1">
        <f t="array" aca="1" ref="C4" ca="1">_FV(B4,"Price")</f>
        <v>49.17</v>
      </c>
      <c r="D4" s="2" cm="1">
        <f t="array" aca="1" ref="D4" ca="1">_FV(B4,"Change (%)",TRUE)</f>
        <v>-1.2254000000000001E-2</v>
      </c>
    </row>
  </sheetData>
  <autoFilter ref="A1:D1" xr:uid="{2902132B-C28D-4BE0-8904-9CF58091B792}">
    <sortState xmlns:xlrd2="http://schemas.microsoft.com/office/spreadsheetml/2017/richdata2" ref="A2:D4">
      <sortCondition descending="1" ref="D1"/>
    </sortState>
  </autoFilter>
  <conditionalFormatting sqref="D2:D4">
    <cfRule type="cellIs" dxfId="7" priority="1" operator="greaterThan">
      <formula>0</formula>
    </cfRule>
    <cfRule type="cellIs" dxfId="6" priority="2" operator="lessThan">
      <formula>0</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7231-0089-4537-A6B1-90B0BA9AD557}">
  <dimension ref="A1:D9"/>
  <sheetViews>
    <sheetView workbookViewId="0">
      <selection sqref="A1:XFD1"/>
    </sheetView>
  </sheetViews>
  <sheetFormatPr defaultRowHeight="15" x14ac:dyDescent="0.25"/>
  <cols>
    <col min="1" max="1" width="6.28515625" bestFit="1" customWidth="1"/>
    <col min="2" max="2" width="37.5703125" bestFit="1" customWidth="1"/>
    <col min="3" max="3" width="9" bestFit="1" customWidth="1"/>
    <col min="4" max="4" width="7.5703125" bestFit="1" customWidth="1"/>
  </cols>
  <sheetData>
    <row r="1" spans="1:4" x14ac:dyDescent="0.25">
      <c r="A1" t="s">
        <v>180</v>
      </c>
      <c r="B1" t="s">
        <v>190</v>
      </c>
      <c r="C1" t="s">
        <v>188</v>
      </c>
      <c r="D1" t="s">
        <v>189</v>
      </c>
    </row>
    <row r="2" spans="1:4" x14ac:dyDescent="0.25">
      <c r="A2" t="s">
        <v>197</v>
      </c>
      <c r="B2" t="e" vm="180">
        <v>#VALUE!</v>
      </c>
      <c r="C2" s="1" cm="1">
        <f t="array" aca="1" ref="C2" ca="1">_FV(B2,"Price")</f>
        <v>42.75</v>
      </c>
      <c r="D2" s="2" cm="1">
        <f t="array" aca="1" ref="D2" ca="1">_FV(B2,"Change (%)",TRUE)</f>
        <v>7.5742000000000004E-2</v>
      </c>
    </row>
    <row r="3" spans="1:4" x14ac:dyDescent="0.25">
      <c r="A3" t="s">
        <v>88</v>
      </c>
      <c r="B3" t="e" vm="102">
        <v>#VALUE!</v>
      </c>
      <c r="C3" s="1" cm="1">
        <f t="array" aca="1" ref="C3" ca="1">_FV(B3,"Price")</f>
        <v>44</v>
      </c>
      <c r="D3" s="2" cm="1">
        <f t="array" aca="1" ref="D3" ca="1">_FV(B3,"Change (%)",TRUE)</f>
        <v>5.9119999999999997E-3</v>
      </c>
    </row>
    <row r="4" spans="1:4" x14ac:dyDescent="0.25">
      <c r="A4" t="s">
        <v>91</v>
      </c>
      <c r="B4" t="e" vm="101">
        <v>#VALUE!</v>
      </c>
      <c r="C4" s="1" cm="1">
        <f t="array" aca="1" ref="C4" ca="1">_FV(B4,"Price")</f>
        <v>82.02</v>
      </c>
      <c r="D4" s="2" cm="1">
        <f t="array" aca="1" ref="D4" ca="1">_FV(B4,"Change (%)",TRUE)</f>
        <v>5.6399999999999992E-3</v>
      </c>
    </row>
    <row r="5" spans="1:4" x14ac:dyDescent="0.25">
      <c r="A5" t="s">
        <v>98</v>
      </c>
      <c r="B5" t="e" vm="106">
        <v>#VALUE!</v>
      </c>
      <c r="C5" s="1" cm="1">
        <f t="array" aca="1" ref="C5" ca="1">_FV(B5,"Price")</f>
        <v>30.35</v>
      </c>
      <c r="D5" s="2" cm="1">
        <f t="array" aca="1" ref="D5" ca="1">_FV(B5,"Change (%)",TRUE)</f>
        <v>2.643E-3</v>
      </c>
    </row>
    <row r="6" spans="1:4" x14ac:dyDescent="0.25">
      <c r="A6" t="s">
        <v>89</v>
      </c>
      <c r="B6" t="e" vm="103">
        <v>#VALUE!</v>
      </c>
      <c r="C6" s="1" cm="1">
        <f t="array" aca="1" ref="C6" ca="1">_FV(B6,"Price")</f>
        <v>67.8</v>
      </c>
      <c r="D6" s="2" cm="1">
        <f t="array" aca="1" ref="D6" ca="1">_FV(B6,"Change (%)",TRUE)</f>
        <v>2.3649999999999999E-3</v>
      </c>
    </row>
    <row r="7" spans="1:4" x14ac:dyDescent="0.25">
      <c r="A7" t="s">
        <v>198</v>
      </c>
      <c r="B7" t="e" vm="181">
        <v>#VALUE!</v>
      </c>
      <c r="C7" s="1" cm="1">
        <f t="array" aca="1" ref="C7" ca="1">_FV(B7,"Price")</f>
        <v>188.98</v>
      </c>
      <c r="D7" s="2" cm="1">
        <f t="array" aca="1" ref="D7" ca="1">_FV(B7,"Change (%)",TRUE)</f>
        <v>1.9620000000000002E-3</v>
      </c>
    </row>
    <row r="8" spans="1:4" x14ac:dyDescent="0.25">
      <c r="A8" t="s">
        <v>199</v>
      </c>
      <c r="B8" t="e" vm="182">
        <v>#VALUE!</v>
      </c>
      <c r="C8" s="1" cm="1">
        <f t="array" aca="1" ref="C8" ca="1">_FV(B8,"Price")</f>
        <v>31.47</v>
      </c>
      <c r="D8" s="2" cm="1">
        <f t="array" aca="1" ref="D8" ca="1">_FV(B8,"Change (%)",TRUE)</f>
        <v>1.591E-3</v>
      </c>
    </row>
    <row r="9" spans="1:4" x14ac:dyDescent="0.25">
      <c r="A9" t="s">
        <v>90</v>
      </c>
      <c r="B9" t="e" vm="104">
        <v>#VALUE!</v>
      </c>
      <c r="C9" s="1" cm="1">
        <f t="array" aca="1" ref="C9" ca="1">_FV(B9,"Price")</f>
        <v>52.6</v>
      </c>
      <c r="D9" s="2" cm="1">
        <f t="array" aca="1" ref="D9" ca="1">_FV(B9,"Change (%)",TRUE)</f>
        <v>-4.9049999999999996E-3</v>
      </c>
    </row>
  </sheetData>
  <autoFilter ref="A1:D1" xr:uid="{97547231-0089-4537-A6B1-90B0BA9AD557}">
    <sortState xmlns:xlrd2="http://schemas.microsoft.com/office/spreadsheetml/2017/richdata2" ref="A2:D9">
      <sortCondition descending="1" ref="D1"/>
    </sortState>
  </autoFilter>
  <conditionalFormatting sqref="D2:D9">
    <cfRule type="cellIs" dxfId="5" priority="1" operator="greaterThan">
      <formula>0</formula>
    </cfRule>
    <cfRule type="cellIs" dxfId="4" priority="2" operator="lessThan">
      <formula>0</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B093-B994-4B17-AFD5-D9816674927D}">
  <dimension ref="A1:D5"/>
  <sheetViews>
    <sheetView workbookViewId="0">
      <selection sqref="A1:D5"/>
    </sheetView>
  </sheetViews>
  <sheetFormatPr defaultRowHeight="15" x14ac:dyDescent="0.25"/>
  <cols>
    <col min="2" max="2" width="37.5703125" bestFit="1" customWidth="1"/>
  </cols>
  <sheetData>
    <row r="1" spans="1:4" x14ac:dyDescent="0.25">
      <c r="A1" t="s">
        <v>180</v>
      </c>
      <c r="B1" t="s">
        <v>190</v>
      </c>
      <c r="C1" t="s">
        <v>188</v>
      </c>
      <c r="D1" t="s">
        <v>189</v>
      </c>
    </row>
    <row r="2" spans="1:4" x14ac:dyDescent="0.25">
      <c r="A2" t="s">
        <v>187</v>
      </c>
      <c r="B2" t="e" vm="183">
        <v>#VALUE!</v>
      </c>
      <c r="C2" s="1" cm="1">
        <f t="array" aca="1" ref="C2" ca="1">_FV(B2,"Price")</f>
        <v>7.64</v>
      </c>
      <c r="D2" s="2" cm="1">
        <f t="array" aca="1" ref="D2" ca="1">_FV(B2,"Change (%)",TRUE)</f>
        <v>2.6250000000000002E-3</v>
      </c>
    </row>
    <row r="3" spans="1:4" x14ac:dyDescent="0.25">
      <c r="A3" t="s">
        <v>184</v>
      </c>
      <c r="B3" t="e" vm="184">
        <v>#VALUE!</v>
      </c>
      <c r="C3" s="1" cm="1">
        <f t="array" aca="1" ref="C3" ca="1">_FV(B3,"Price")</f>
        <v>5.19</v>
      </c>
      <c r="D3" s="2" cm="1">
        <f t="array" aca="1" ref="D3" ca="1">_FV(B3,"Change (%)",TRUE)</f>
        <v>-1.923E-3</v>
      </c>
    </row>
    <row r="4" spans="1:4" x14ac:dyDescent="0.25">
      <c r="A4" t="s">
        <v>186</v>
      </c>
      <c r="B4" t="e" vm="185">
        <v>#VALUE!</v>
      </c>
      <c r="C4" s="1" cm="1">
        <f t="array" aca="1" ref="C4" ca="1">_FV(B4,"Price")</f>
        <v>22.27</v>
      </c>
      <c r="D4" s="2" cm="1">
        <f t="array" aca="1" ref="D4" ca="1">_FV(B4,"Change (%)",TRUE)</f>
        <v>-3.5790000000000001E-3</v>
      </c>
    </row>
    <row r="5" spans="1:4" x14ac:dyDescent="0.25">
      <c r="A5" t="s">
        <v>185</v>
      </c>
      <c r="B5" t="e" vm="186">
        <v>#VALUE!</v>
      </c>
      <c r="C5" s="1" cm="1">
        <f t="array" aca="1" ref="C5" ca="1">_FV(B5,"Price")</f>
        <v>12.44</v>
      </c>
      <c r="D5" s="2" cm="1">
        <f t="array" aca="1" ref="D5" ca="1">_FV(B5,"Change (%)",TRUE)</f>
        <v>-2.0472000000000001E-2</v>
      </c>
    </row>
  </sheetData>
  <autoFilter ref="A1:D1" xr:uid="{982CB093-B994-4B17-AFD5-D9816674927D}">
    <sortState xmlns:xlrd2="http://schemas.microsoft.com/office/spreadsheetml/2017/richdata2" ref="A2:D5">
      <sortCondition descending="1" ref="D1"/>
    </sortState>
  </autoFilter>
  <conditionalFormatting sqref="D2:D5">
    <cfRule type="cellIs" dxfId="3" priority="1" operator="greaterThan">
      <formula>0</formula>
    </cfRule>
    <cfRule type="cellIs" dxfId="2" priority="2" operator="lessThan">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923E-03B3-4858-B3E1-664DA95F842D}">
  <dimension ref="A1:E12"/>
  <sheetViews>
    <sheetView workbookViewId="0">
      <selection sqref="A1:XFD1"/>
    </sheetView>
  </sheetViews>
  <sheetFormatPr defaultRowHeight="15" x14ac:dyDescent="0.25"/>
  <cols>
    <col min="2" max="2" width="35.140625" bestFit="1" customWidth="1"/>
  </cols>
  <sheetData>
    <row r="1" spans="1:5" x14ac:dyDescent="0.25">
      <c r="A1" t="s">
        <v>0</v>
      </c>
      <c r="B1" t="s">
        <v>190</v>
      </c>
      <c r="C1" t="s">
        <v>188</v>
      </c>
      <c r="D1" t="s">
        <v>189</v>
      </c>
    </row>
    <row r="2" spans="1:5" x14ac:dyDescent="0.25">
      <c r="A2" t="s">
        <v>168</v>
      </c>
      <c r="B2" t="e" vm="187">
        <v>#VALUE!</v>
      </c>
      <c r="C2" s="1" cm="1">
        <f t="array" aca="1" ref="C2" ca="1">_FV(B2,"Price")</f>
        <v>70.459999999999994</v>
      </c>
      <c r="D2" s="2" cm="1">
        <f t="array" aca="1" ref="D2" ca="1">_FV(B2,"Change (%)",TRUE)</f>
        <v>-7.326E-3</v>
      </c>
      <c r="E2" s="3"/>
    </row>
    <row r="3" spans="1:5" x14ac:dyDescent="0.25">
      <c r="A3" t="s">
        <v>173</v>
      </c>
      <c r="B3" t="e" vm="188">
        <v>#VALUE!</v>
      </c>
      <c r="C3" s="1" cm="1">
        <f t="array" aca="1" ref="C3" ca="1">_FV(B3,"Price")</f>
        <v>73.543700000000001</v>
      </c>
      <c r="D3" s="2" cm="1">
        <f t="array" aca="1" ref="D3" ca="1">_FV(B3,"Change (%)",TRUE)</f>
        <v>-5.4530000000000004E-3</v>
      </c>
    </row>
    <row r="4" spans="1:5" x14ac:dyDescent="0.25">
      <c r="A4" t="s">
        <v>174</v>
      </c>
      <c r="B4" t="e" vm="189">
        <v>#VALUE!</v>
      </c>
      <c r="C4" s="1" cm="1">
        <f t="array" aca="1" ref="C4" ca="1">_FV(B4,"Price")</f>
        <v>36.574300000000001</v>
      </c>
      <c r="D4" s="2" cm="1">
        <f t="array" aca="1" ref="D4" ca="1">_FV(B4,"Change (%)",TRUE)</f>
        <v>-4.2309999999999995E-3</v>
      </c>
    </row>
    <row r="5" spans="1:5" x14ac:dyDescent="0.25">
      <c r="A5" t="s">
        <v>171</v>
      </c>
      <c r="B5" t="e" vm="190">
        <v>#VALUE!</v>
      </c>
      <c r="C5" s="1" cm="1">
        <f t="array" aca="1" ref="C5" ca="1">_FV(B5,"Price")</f>
        <v>52.9</v>
      </c>
      <c r="D5" s="2" cm="1">
        <f t="array" aca="1" ref="D5" ca="1">_FV(B5,"Change (%)",TRUE)</f>
        <v>-1.322E-3</v>
      </c>
    </row>
    <row r="6" spans="1:5" x14ac:dyDescent="0.25">
      <c r="A6" t="s">
        <v>175</v>
      </c>
      <c r="B6" t="e" vm="191">
        <v>#VALUE!</v>
      </c>
      <c r="C6" s="1" cm="1">
        <f t="array" aca="1" ref="C6" ca="1">_FV(B6,"Price")</f>
        <v>28.87</v>
      </c>
      <c r="D6" s="2" cm="1">
        <f t="array" aca="1" ref="D6" ca="1">_FV(B6,"Change (%)",TRUE)</f>
        <v>-1.0380000000000001E-3</v>
      </c>
    </row>
    <row r="7" spans="1:5" x14ac:dyDescent="0.25">
      <c r="A7" t="s">
        <v>177</v>
      </c>
      <c r="B7" t="e" vm="192">
        <v>#VALUE!</v>
      </c>
      <c r="C7" s="1" cm="1">
        <f t="array" aca="1" ref="C7" ca="1">_FV(B7,"Price")</f>
        <v>30.25</v>
      </c>
      <c r="D7" s="2" cm="1">
        <f t="array" aca="1" ref="D7" ca="1">_FV(B7,"Change (%)",TRUE)</f>
        <v>2.811E-4</v>
      </c>
    </row>
    <row r="8" spans="1:5" x14ac:dyDescent="0.25">
      <c r="A8" t="s">
        <v>169</v>
      </c>
      <c r="B8" t="e" vm="193">
        <v>#VALUE!</v>
      </c>
      <c r="C8" s="1" cm="1">
        <f t="array" aca="1" ref="C8" ca="1">_FV(B8,"Price")</f>
        <v>73.83</v>
      </c>
      <c r="D8" s="2" cm="1">
        <f t="array" aca="1" ref="D8" ca="1">_FV(B8,"Change (%)",TRUE)</f>
        <v>9.4899999999999997E-4</v>
      </c>
    </row>
    <row r="9" spans="1:5" x14ac:dyDescent="0.25">
      <c r="A9" t="s">
        <v>178</v>
      </c>
      <c r="B9" t="e" vm="194">
        <v>#VALUE!</v>
      </c>
      <c r="C9" s="1" cm="1">
        <f t="array" aca="1" ref="C9" ca="1">_FV(B9,"Price")</f>
        <v>35.239699999999999</v>
      </c>
      <c r="D9" s="2" cm="1">
        <f t="array" aca="1" ref="D9" ca="1">_FV(B9,"Change (%)",TRUE)</f>
        <v>1.7539999999999999E-3</v>
      </c>
    </row>
    <row r="10" spans="1:5" x14ac:dyDescent="0.25">
      <c r="A10" t="s">
        <v>176</v>
      </c>
      <c r="B10" t="e" vm="195">
        <v>#VALUE!</v>
      </c>
      <c r="C10" s="1" cm="1">
        <f t="array" aca="1" ref="C10" ca="1">_FV(B10,"Price")</f>
        <v>52.32</v>
      </c>
      <c r="D10" s="2" cm="1">
        <f t="array" aca="1" ref="D10" ca="1">_FV(B10,"Change (%)",TRUE)</f>
        <v>2.6829999999999996E-3</v>
      </c>
    </row>
    <row r="11" spans="1:5" x14ac:dyDescent="0.25">
      <c r="A11" t="s">
        <v>172</v>
      </c>
      <c r="B11" t="e" vm="196">
        <v>#VALUE!</v>
      </c>
      <c r="C11" s="1" cm="1">
        <f t="array" aca="1" ref="C11" ca="1">_FV(B11,"Price")</f>
        <v>39.01</v>
      </c>
      <c r="D11" s="2" cm="1">
        <f t="array" aca="1" ref="D11" ca="1">_FV(B11,"Change (%)",TRUE)</f>
        <v>7.7499999999999999E-3</v>
      </c>
    </row>
    <row r="12" spans="1:5" x14ac:dyDescent="0.25">
      <c r="A12" t="s">
        <v>170</v>
      </c>
      <c r="B12" t="e" vm="197">
        <v>#VALUE!</v>
      </c>
      <c r="C12" s="1" cm="1">
        <f t="array" aca="1" ref="C12" ca="1">_FV(B12,"Price")</f>
        <v>32.590000000000003</v>
      </c>
      <c r="D12" s="2" cm="1">
        <f t="array" aca="1" ref="D12" ca="1">_FV(B12,"Change (%)",TRUE)</f>
        <v>8.6660000000000001E-3</v>
      </c>
    </row>
  </sheetData>
  <autoFilter ref="A1:E1" xr:uid="{59B5923E-03B3-4858-B3E1-664DA95F842D}">
    <sortState xmlns:xlrd2="http://schemas.microsoft.com/office/spreadsheetml/2017/richdata2" ref="A2:E12">
      <sortCondition ref="D1"/>
    </sortState>
  </autoFilter>
  <conditionalFormatting sqref="D2:D12">
    <cfRule type="cellIs" dxfId="1" priority="1" operator="greaterThan">
      <formula>0</formula>
    </cfRule>
    <cfRule type="cellIs" dxfId="0" priority="2" operator="less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MainMetrics</vt:lpstr>
      <vt:lpstr>indexes</vt:lpstr>
      <vt:lpstr>spSectors</vt:lpstr>
      <vt:lpstr>industries</vt:lpstr>
      <vt:lpstr>spFactors</vt:lpstr>
      <vt:lpstr>magnificent7</vt:lpstr>
      <vt:lpstr>sizeVsValue</vt:lpstr>
      <vt:lpstr>awesomePortfolio</vt:lpstr>
      <vt:lpstr>qualitative</vt:lpstr>
      <vt:lpstr>fixedIncome</vt:lpstr>
      <vt:lpstr>commodities</vt:lpstr>
      <vt:lpstr>globalMarkets</vt:lpstr>
      <vt:lpstr>currencies</vt:lpstr>
      <vt:lpstr>crypto</vt:lpstr>
      <vt:lpstr>otherEtf</vt:lpstr>
      <vt:lpstr>hedgeProtectionTrades</vt:lpstr>
      <vt:lpstr>Alternatives</vt:lpstr>
      <vt:lpstr>doomsdayTrades</vt:lpstr>
      <vt:lpstr>equalWeightedSectors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Jeronimo De Abreu</dc:creator>
  <cp:lastModifiedBy>Jeronimo De Abreu</cp:lastModifiedBy>
  <dcterms:created xsi:type="dcterms:W3CDTF">2024-07-04T17:58:58Z</dcterms:created>
  <dcterms:modified xsi:type="dcterms:W3CDTF">2025-06-10T03:37:51Z</dcterms:modified>
</cp:coreProperties>
</file>