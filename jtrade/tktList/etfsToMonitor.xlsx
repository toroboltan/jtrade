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wsl.localhost\Ubuntu\home\jeron\project\jtrade\tktList\"/>
    </mc:Choice>
  </mc:AlternateContent>
  <xr:revisionPtr revIDLastSave="0" documentId="13_ncr:1_{267A8953-C009-4360-96F2-0385922E7F27}" xr6:coauthVersionLast="47" xr6:coauthVersionMax="47" xr10:uidLastSave="{00000000-0000-0000-0000-000000000000}"/>
  <bookViews>
    <workbookView xWindow="-120" yWindow="-120" windowWidth="29040" windowHeight="15720" tabRatio="944" activeTab="4" xr2:uid="{C2CBD369-E3C3-4850-AF40-1C6F4310D1D9}"/>
  </bookViews>
  <sheets>
    <sheet name="MainMetrics" sheetId="18" r:id="rId1"/>
    <sheet name="indexes" sheetId="1" r:id="rId2"/>
    <sheet name="spSectors" sheetId="2" r:id="rId3"/>
    <sheet name="AI_trade" sheetId="20" r:id="rId4"/>
    <sheet name="industries" sheetId="3" r:id="rId5"/>
    <sheet name="spFactors" sheetId="4" r:id="rId6"/>
    <sheet name="magnificent7" sheetId="5" r:id="rId7"/>
    <sheet name="sizeVsValue" sheetId="6" r:id="rId8"/>
    <sheet name="awesomePortfolio" sheetId="7" r:id="rId9"/>
    <sheet name="qualitative" sheetId="8" r:id="rId10"/>
    <sheet name="fixedIncome" sheetId="9" r:id="rId11"/>
    <sheet name="commodities" sheetId="10" r:id="rId12"/>
    <sheet name="globalMarkets" sheetId="11" r:id="rId13"/>
    <sheet name="currencies" sheetId="12" r:id="rId14"/>
    <sheet name="crypto" sheetId="13" r:id="rId15"/>
    <sheet name="otherEtf" sheetId="14" r:id="rId16"/>
    <sheet name="hedgeProtectionTrades" sheetId="16" r:id="rId17"/>
    <sheet name="Alternatives" sheetId="19" r:id="rId18"/>
    <sheet name="doomsdayTrades" sheetId="17" r:id="rId19"/>
    <sheet name="equalWeightedSectors" sheetId="15" r:id="rId20"/>
  </sheets>
  <definedNames>
    <definedName name="_xlnm._FilterDatabase" localSheetId="17" hidden="1">Alternatives!$A$1:$D$1</definedName>
    <definedName name="_xlnm._FilterDatabase" localSheetId="8" hidden="1">awesomePortfolio!$A$1:$D$1</definedName>
    <definedName name="_xlnm._FilterDatabase" localSheetId="11" hidden="1">commodities!$A$1:$D$1</definedName>
    <definedName name="_xlnm._FilterDatabase" localSheetId="14" hidden="1">crypto!$A$1:$D$1</definedName>
    <definedName name="_xlnm._FilterDatabase" localSheetId="13" hidden="1">currencies!$A$1:$D$1</definedName>
    <definedName name="_xlnm._FilterDatabase" localSheetId="18" hidden="1">doomsdayTrades!$A$1:$D$1</definedName>
    <definedName name="_xlnm._FilterDatabase" localSheetId="19" hidden="1">equalWeightedSectors!$A$1:$E$1</definedName>
    <definedName name="_xlnm._FilterDatabase" localSheetId="10" hidden="1">fixedIncome!$A$1:$D$1</definedName>
    <definedName name="_xlnm._FilterDatabase" localSheetId="12" hidden="1">globalMarkets!$A$1:$D$1</definedName>
    <definedName name="_xlnm._FilterDatabase" localSheetId="16" hidden="1">hedgeProtectionTrades!$A$1:$D$1</definedName>
    <definedName name="_xlnm._FilterDatabase" localSheetId="1" hidden="1">indexes!$A$1:$D$1</definedName>
    <definedName name="_xlnm._FilterDatabase" localSheetId="4" hidden="1">industries!$A$1:$D$1</definedName>
    <definedName name="_xlnm._FilterDatabase" localSheetId="6" hidden="1">magnificent7!$A$1:$D$1</definedName>
    <definedName name="_xlnm._FilterDatabase" localSheetId="15" hidden="1">otherEtf!$A$1:$D$1</definedName>
    <definedName name="_xlnm._FilterDatabase" localSheetId="9" hidden="1">qualitative!$A$1:$D$1</definedName>
    <definedName name="_xlnm._FilterDatabase" localSheetId="7" hidden="1">sizeVsValue!$A$1:$D$1</definedName>
    <definedName name="_xlnm._FilterDatabase" localSheetId="5" hidden="1">spFactors!$A$1:$D$1</definedName>
    <definedName name="_xlnm._FilterDatabase" localSheetId="2" hidden="1">spSectors!$A$1:$D$1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6" i="3" l="1" a="1"/>
  <c r="D36" i="3" a="1"/>
  <c r="D8" i="20" a="1"/>
  <c r="C8" i="20" a="1"/>
  <c r="D7" i="20" a="1"/>
  <c r="C7" i="20" a="1"/>
  <c r="D6" i="20" a="1"/>
  <c r="C6" i="20" a="1"/>
  <c r="D5" i="20" a="1"/>
  <c r="C5" i="20" a="1"/>
  <c r="D4" i="20" a="1"/>
  <c r="C4" i="20" a="1"/>
  <c r="D3" i="20" a="1"/>
  <c r="C3" i="20" a="1"/>
  <c r="D2" i="20" a="1"/>
  <c r="C2" i="20" a="1"/>
  <c r="D25" i="3" a="1"/>
  <c r="C25" i="3" a="1"/>
  <c r="D33" i="3" a="1"/>
  <c r="C33" i="3" a="1"/>
  <c r="C2" i="19" a="1"/>
  <c r="D5" i="19" a="1"/>
  <c r="C5" i="19" a="1"/>
  <c r="D9" i="19" a="1"/>
  <c r="C9" i="19" a="1"/>
  <c r="D8" i="19" a="1"/>
  <c r="C8" i="19" a="1"/>
  <c r="D6" i="19" a="1"/>
  <c r="C6" i="19" a="1"/>
  <c r="D7" i="19" a="1"/>
  <c r="C7" i="19" a="1"/>
  <c r="D4" i="19" a="1"/>
  <c r="C4" i="19" a="1"/>
  <c r="D3" i="19" a="1"/>
  <c r="C3" i="19" a="1"/>
  <c r="D2" i="19" a="1"/>
  <c r="C15" i="18" a="1"/>
  <c r="D15" i="18" a="1"/>
  <c r="D14" i="18" a="1"/>
  <c r="C14" i="18" a="1"/>
  <c r="C3" i="18" a="1"/>
  <c r="D3" i="18" a="1"/>
  <c r="C4" i="18" a="1"/>
  <c r="D4" i="18" a="1"/>
  <c r="C5" i="18" a="1"/>
  <c r="D5" i="18" a="1"/>
  <c r="C6" i="18" a="1"/>
  <c r="D6" i="18" a="1"/>
  <c r="C7" i="18" a="1"/>
  <c r="D7" i="18" a="1"/>
  <c r="C8" i="18" a="1"/>
  <c r="D8" i="18" a="1"/>
  <c r="C9" i="18" a="1"/>
  <c r="D9" i="18" a="1"/>
  <c r="C10" i="18" a="1"/>
  <c r="D10" i="18" a="1"/>
  <c r="C11" i="18" a="1"/>
  <c r="D11" i="18" a="1"/>
  <c r="C12" i="18" a="1"/>
  <c r="D12" i="18" a="1"/>
  <c r="C13" i="18" a="1"/>
  <c r="D13" i="18" a="1"/>
  <c r="D2" i="18" a="1"/>
  <c r="C2" i="18" a="1"/>
  <c r="C8" i="15" a="1"/>
  <c r="D8" i="15" a="1"/>
  <c r="C12" i="15" a="1"/>
  <c r="D12" i="15" a="1"/>
  <c r="C5" i="15" a="1"/>
  <c r="D5" i="15" a="1"/>
  <c r="C11" i="15" a="1"/>
  <c r="D11" i="15" a="1"/>
  <c r="C3" i="15" a="1"/>
  <c r="D3" i="15" a="1"/>
  <c r="C4" i="15" a="1"/>
  <c r="D4" i="15" a="1"/>
  <c r="C6" i="15" a="1"/>
  <c r="D6" i="15" a="1"/>
  <c r="C10" i="15" a="1"/>
  <c r="D10" i="15" a="1"/>
  <c r="C7" i="15" a="1"/>
  <c r="D7" i="15" a="1"/>
  <c r="C9" i="15" a="1"/>
  <c r="D9" i="15" a="1"/>
  <c r="D2" i="15" a="1"/>
  <c r="C2" i="15" a="1"/>
  <c r="C5" i="17" a="1"/>
  <c r="D5" i="17" a="1"/>
  <c r="C4" i="17" a="1"/>
  <c r="D4" i="17" a="1"/>
  <c r="C2" i="17" a="1"/>
  <c r="D2" i="17" a="1"/>
  <c r="D3" i="17" a="1"/>
  <c r="C3" i="17" a="1"/>
  <c r="C3" i="16" a="1"/>
  <c r="D3" i="16" a="1"/>
  <c r="C2" i="16" a="1"/>
  <c r="D2" i="16" a="1"/>
  <c r="D4" i="16" a="1"/>
  <c r="C4" i="16" a="1"/>
  <c r="C2" i="14" a="1"/>
  <c r="D2" i="14" a="1"/>
  <c r="D3" i="14" a="1"/>
  <c r="C3" i="14" a="1"/>
  <c r="C4" i="13" a="1"/>
  <c r="D4" i="13" a="1"/>
  <c r="C2" i="13" a="1"/>
  <c r="D2" i="13" a="1"/>
  <c r="D3" i="13" a="1"/>
  <c r="C3" i="13" a="1"/>
  <c r="C8" i="12" a="1"/>
  <c r="D8" i="12" a="1"/>
  <c r="C2" i="12" a="1"/>
  <c r="D2" i="12" a="1"/>
  <c r="C5" i="12" a="1"/>
  <c r="D5" i="12" a="1"/>
  <c r="C7" i="12" a="1"/>
  <c r="D7" i="12" a="1"/>
  <c r="C3" i="12" a="1"/>
  <c r="D3" i="12" a="1"/>
  <c r="C6" i="12" a="1"/>
  <c r="D6" i="12" a="1"/>
  <c r="C9" i="12" a="1"/>
  <c r="D9" i="12" a="1"/>
  <c r="D4" i="12" a="1"/>
  <c r="C4" i="12" a="1"/>
  <c r="C23" i="11" a="1"/>
  <c r="D23" i="11" a="1"/>
  <c r="C9" i="11" a="1"/>
  <c r="D9" i="11" a="1"/>
  <c r="C20" i="11" a="1"/>
  <c r="D20" i="11" a="1"/>
  <c r="C28" i="11" a="1"/>
  <c r="D28" i="11" a="1"/>
  <c r="C5" i="11" a="1"/>
  <c r="D5" i="11" a="1"/>
  <c r="C22" i="11" a="1"/>
  <c r="D22" i="11" a="1"/>
  <c r="C14" i="11" a="1"/>
  <c r="D14" i="11" a="1"/>
  <c r="C19" i="11" a="1"/>
  <c r="D19" i="11" a="1"/>
  <c r="C7" i="11" a="1"/>
  <c r="D7" i="11" a="1"/>
  <c r="C24" i="11" a="1"/>
  <c r="D24" i="11" a="1"/>
  <c r="C15" i="11" a="1"/>
  <c r="D15" i="11" a="1"/>
  <c r="C27" i="11" a="1"/>
  <c r="D27" i="11" a="1"/>
  <c r="C4" i="11" a="1"/>
  <c r="D4" i="11" a="1"/>
  <c r="C18" i="11" a="1"/>
  <c r="D18" i="11" a="1"/>
  <c r="C21" i="11" a="1"/>
  <c r="D21" i="11" a="1"/>
  <c r="C2" i="11" a="1"/>
  <c r="D2" i="11" a="1"/>
  <c r="C26" i="11" a="1"/>
  <c r="D26" i="11" a="1"/>
  <c r="C25" i="11" a="1"/>
  <c r="D25" i="11" a="1"/>
  <c r="C3" i="11" a="1"/>
  <c r="D3" i="11" a="1"/>
  <c r="C8" i="11" a="1"/>
  <c r="D8" i="11" a="1"/>
  <c r="C13" i="11" a="1"/>
  <c r="D13" i="11" a="1"/>
  <c r="C17" i="11" a="1"/>
  <c r="D17" i="11" a="1"/>
  <c r="C16" i="11" a="1"/>
  <c r="D16" i="11" a="1"/>
  <c r="C12" i="11" a="1"/>
  <c r="D12" i="11" a="1"/>
  <c r="C11" i="11" a="1"/>
  <c r="D11" i="11" a="1"/>
  <c r="C10" i="11" a="1"/>
  <c r="D10" i="11" a="1"/>
  <c r="C29" i="11" a="1"/>
  <c r="D29" i="11" a="1"/>
  <c r="D6" i="11" a="1"/>
  <c r="C6" i="11" a="1"/>
  <c r="C5" i="10" a="1"/>
  <c r="D5" i="10" a="1"/>
  <c r="C3" i="10" a="1"/>
  <c r="D3" i="10" a="1"/>
  <c r="C6" i="10" a="1"/>
  <c r="D6" i="10" a="1"/>
  <c r="C14" i="10" a="1"/>
  <c r="D14" i="10" a="1"/>
  <c r="C2" i="10" a="1"/>
  <c r="D2" i="10" a="1"/>
  <c r="C7" i="10" a="1"/>
  <c r="D7" i="10" a="1"/>
  <c r="C12" i="10" a="1"/>
  <c r="D12" i="10" a="1"/>
  <c r="C4" i="10" a="1"/>
  <c r="D4" i="10" a="1"/>
  <c r="C8" i="10" a="1"/>
  <c r="D8" i="10" a="1"/>
  <c r="C16" i="10" a="1"/>
  <c r="D16" i="10" a="1"/>
  <c r="C10" i="10" a="1"/>
  <c r="D10" i="10" a="1"/>
  <c r="C9" i="10" a="1"/>
  <c r="D9" i="10" a="1"/>
  <c r="C18" i="10" a="1"/>
  <c r="D18" i="10" a="1"/>
  <c r="C11" i="10" a="1"/>
  <c r="D11" i="10" a="1"/>
  <c r="C17" i="10" a="1"/>
  <c r="D17" i="10" a="1"/>
  <c r="C20" i="10" a="1"/>
  <c r="D20" i="10" a="1"/>
  <c r="C15" i="10" a="1"/>
  <c r="D15" i="10" a="1"/>
  <c r="C21" i="10" a="1"/>
  <c r="D21" i="10" a="1"/>
  <c r="C22" i="10" a="1"/>
  <c r="D22" i="10" a="1"/>
  <c r="C19" i="10" a="1"/>
  <c r="D19" i="10" a="1"/>
  <c r="C13" i="10" a="1"/>
  <c r="D13" i="10" a="1"/>
  <c r="D23" i="10" a="1"/>
  <c r="C23" i="10" a="1"/>
  <c r="C12" i="9" a="1"/>
  <c r="D12" i="9" a="1"/>
  <c r="C8" i="9" a="1"/>
  <c r="D8" i="9" a="1"/>
  <c r="C16" i="9" a="1"/>
  <c r="D16" i="9" a="1"/>
  <c r="C5" i="9" a="1"/>
  <c r="D5" i="9" a="1"/>
  <c r="C2" i="9" a="1"/>
  <c r="D2" i="9" a="1"/>
  <c r="C3" i="9" a="1"/>
  <c r="D3" i="9" a="1"/>
  <c r="C6" i="9" a="1"/>
  <c r="D6" i="9" a="1"/>
  <c r="C13" i="9" a="1"/>
  <c r="D13" i="9" a="1"/>
  <c r="C10" i="9" a="1"/>
  <c r="D10" i="9" a="1"/>
  <c r="C9" i="9" a="1"/>
  <c r="D9" i="9" a="1"/>
  <c r="C15" i="9" a="1"/>
  <c r="D15" i="9" a="1"/>
  <c r="C11" i="9" a="1"/>
  <c r="D11" i="9" a="1"/>
  <c r="C14" i="9" a="1"/>
  <c r="D14" i="9" a="1"/>
  <c r="C7" i="9" a="1"/>
  <c r="D7" i="9" a="1"/>
  <c r="C17" i="9" a="1"/>
  <c r="D17" i="9" a="1"/>
  <c r="C4" i="9" a="1"/>
  <c r="D4" i="9" a="1"/>
  <c r="D18" i="9" a="1"/>
  <c r="C18" i="9" a="1"/>
  <c r="C5" i="8" a="1"/>
  <c r="D5" i="8" a="1"/>
  <c r="C4" i="8" a="1"/>
  <c r="D4" i="8" a="1"/>
  <c r="C7" i="8" a="1"/>
  <c r="D7" i="8" a="1"/>
  <c r="C6" i="8" a="1"/>
  <c r="D6" i="8" a="1"/>
  <c r="C2" i="8" a="1"/>
  <c r="D2" i="8" a="1"/>
  <c r="D3" i="8" a="1"/>
  <c r="C3" i="8" a="1"/>
  <c r="C4" i="7" a="1"/>
  <c r="D4" i="7" a="1"/>
  <c r="C6" i="7" a="1"/>
  <c r="D6" i="7" a="1"/>
  <c r="C3" i="7" a="1"/>
  <c r="D3" i="7" a="1"/>
  <c r="C7" i="7" a="1"/>
  <c r="D7" i="7" a="1"/>
  <c r="C8" i="7" a="1"/>
  <c r="D8" i="7" a="1"/>
  <c r="C5" i="7" a="1"/>
  <c r="D5" i="7" a="1"/>
  <c r="D2" i="7" a="1"/>
  <c r="C2" i="7" a="1"/>
  <c r="C5" i="6" a="1"/>
  <c r="D5" i="6" a="1"/>
  <c r="C2" i="6" a="1"/>
  <c r="D2" i="6" a="1"/>
  <c r="C4" i="6" a="1"/>
  <c r="D4" i="6" a="1"/>
  <c r="C3" i="6" a="1"/>
  <c r="D3" i="6" a="1"/>
  <c r="C7" i="6" a="1"/>
  <c r="D7" i="6" a="1"/>
  <c r="D6" i="6" a="1"/>
  <c r="C6" i="6" a="1"/>
  <c r="C5" i="5" a="1"/>
  <c r="D5" i="5" a="1"/>
  <c r="C6" i="5" a="1"/>
  <c r="D6" i="5" a="1"/>
  <c r="C7" i="5" a="1"/>
  <c r="D7" i="5" a="1"/>
  <c r="C4" i="5" a="1"/>
  <c r="D4" i="5" a="1"/>
  <c r="C2" i="5" a="1"/>
  <c r="D2" i="5" a="1"/>
  <c r="C3" i="5" a="1"/>
  <c r="D3" i="5" a="1"/>
  <c r="D8" i="5" a="1"/>
  <c r="C8" i="5" a="1"/>
  <c r="C20" i="4" a="1"/>
  <c r="D20" i="4" a="1"/>
  <c r="C14" i="4" a="1"/>
  <c r="D14" i="4" a="1"/>
  <c r="C16" i="4" a="1"/>
  <c r="D16" i="4" a="1"/>
  <c r="C11" i="4" a="1"/>
  <c r="D11" i="4" a="1"/>
  <c r="C4" i="4" a="1"/>
  <c r="D4" i="4" a="1"/>
  <c r="C7" i="4" a="1"/>
  <c r="D7" i="4" a="1"/>
  <c r="C19" i="4" a="1"/>
  <c r="D19" i="4" a="1"/>
  <c r="C18" i="4" a="1"/>
  <c r="D18" i="4" a="1"/>
  <c r="C8" i="4" a="1"/>
  <c r="D8" i="4" a="1"/>
  <c r="C10" i="4" a="1"/>
  <c r="D10" i="4" a="1"/>
  <c r="C9" i="4" a="1"/>
  <c r="D9" i="4" a="1"/>
  <c r="C13" i="4" a="1"/>
  <c r="D13" i="4" a="1"/>
  <c r="C2" i="4" a="1"/>
  <c r="D2" i="4" a="1"/>
  <c r="C12" i="4" a="1"/>
  <c r="D12" i="4" a="1"/>
  <c r="C17" i="4" a="1"/>
  <c r="D17" i="4" a="1"/>
  <c r="C5" i="4" a="1"/>
  <c r="D5" i="4" a="1"/>
  <c r="C3" i="4" a="1"/>
  <c r="D3" i="4" a="1"/>
  <c r="C6" i="4" a="1"/>
  <c r="D6" i="4" a="1"/>
  <c r="D15" i="4" a="1"/>
  <c r="C15" i="4" a="1"/>
  <c r="C7" i="3" a="1"/>
  <c r="D7" i="3" a="1"/>
  <c r="C35" i="3" a="1"/>
  <c r="D35" i="3" a="1"/>
  <c r="C21" i="3" a="1"/>
  <c r="D21" i="3" a="1"/>
  <c r="C26" i="3" a="1"/>
  <c r="D26" i="3" a="1"/>
  <c r="C24" i="3" a="1"/>
  <c r="D24" i="3" a="1"/>
  <c r="C34" i="3" a="1"/>
  <c r="D34" i="3" a="1"/>
  <c r="C27" i="3" a="1"/>
  <c r="D27" i="3" a="1"/>
  <c r="C19" i="3" a="1"/>
  <c r="D19" i="3" a="1"/>
  <c r="C10" i="3" a="1"/>
  <c r="D10" i="3" a="1"/>
  <c r="C22" i="3" a="1"/>
  <c r="D22" i="3" a="1"/>
  <c r="C28" i="3" a="1"/>
  <c r="D28" i="3" a="1"/>
  <c r="C3" i="3" a="1"/>
  <c r="D3" i="3" a="1"/>
  <c r="C15" i="3" a="1"/>
  <c r="D15" i="3" a="1"/>
  <c r="C9" i="3" a="1"/>
  <c r="D9" i="3" a="1"/>
  <c r="C16" i="3" a="1"/>
  <c r="D16" i="3" a="1"/>
  <c r="C23" i="3" a="1"/>
  <c r="D23" i="3" a="1"/>
  <c r="C8" i="3" a="1"/>
  <c r="D8" i="3" a="1"/>
  <c r="C31" i="3" a="1"/>
  <c r="D31" i="3" a="1"/>
  <c r="C11" i="3" a="1"/>
  <c r="D11" i="3" a="1"/>
  <c r="C13" i="3" a="1"/>
  <c r="D13" i="3" a="1"/>
  <c r="C30" i="3" a="1"/>
  <c r="D30" i="3" a="1"/>
  <c r="C2" i="3" a="1"/>
  <c r="D2" i="3" a="1"/>
  <c r="C32" i="3" a="1"/>
  <c r="D32" i="3" a="1"/>
  <c r="C12" i="3" a="1"/>
  <c r="D12" i="3" a="1"/>
  <c r="C14" i="3" a="1"/>
  <c r="D14" i="3" a="1"/>
  <c r="C5" i="3" a="1"/>
  <c r="D5" i="3" a="1"/>
  <c r="C29" i="3" a="1"/>
  <c r="D29" i="3" a="1"/>
  <c r="C4" i="3" a="1"/>
  <c r="D4" i="3" a="1"/>
  <c r="C17" i="3" a="1"/>
  <c r="D17" i="3" a="1"/>
  <c r="C18" i="3" a="1"/>
  <c r="D18" i="3" a="1"/>
  <c r="C6" i="3" a="1"/>
  <c r="D6" i="3" a="1"/>
  <c r="D20" i="3" a="1"/>
  <c r="C20" i="3" a="1"/>
  <c r="D6" i="2" a="1"/>
  <c r="D9" i="2" a="1"/>
  <c r="D3" i="2" a="1"/>
  <c r="D4" i="2" a="1"/>
  <c r="D11" i="2" a="1"/>
  <c r="D5" i="2" a="1"/>
  <c r="D2" i="2" a="1"/>
  <c r="D8" i="2" a="1"/>
  <c r="D7" i="2" a="1"/>
  <c r="D10" i="2" a="1"/>
  <c r="D12" i="2" a="1"/>
  <c r="C6" i="2" a="1"/>
  <c r="C9" i="2" a="1"/>
  <c r="C3" i="2" a="1"/>
  <c r="C4" i="2" a="1"/>
  <c r="C11" i="2" a="1"/>
  <c r="C5" i="2" a="1"/>
  <c r="C2" i="2" a="1"/>
  <c r="C8" i="2" a="1"/>
  <c r="C7" i="2" a="1"/>
  <c r="C10" i="2" a="1"/>
  <c r="C12" i="2" a="1"/>
  <c r="D5" i="1" a="1"/>
  <c r="D7" i="1" a="1"/>
  <c r="D8" i="1" a="1"/>
  <c r="D3" i="1" a="1"/>
  <c r="D2" i="1" a="1"/>
  <c r="D4" i="1" a="1"/>
  <c r="D6" i="1" a="1"/>
  <c r="C5" i="1" a="1"/>
  <c r="C7" i="1" a="1"/>
  <c r="C8" i="1" a="1"/>
  <c r="C3" i="1" a="1"/>
  <c r="C2" i="1" a="1"/>
  <c r="C4" i="1" a="1"/>
  <c r="C6" i="1"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0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3"/>
        </ext>
      </extLst>
    </bk>
    <bk>
      <extLst>
        <ext uri="{3e2802c4-a4d2-4d8b-9148-e3be6c30e623}">
          <xlrd:rvb i="46"/>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4"/>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7"/>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8"/>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1"/>
        </ext>
      </extLst>
    </bk>
    <bk>
      <extLst>
        <ext uri="{3e2802c4-a4d2-4d8b-9148-e3be6c30e623}">
          <xlrd:rvb i="344"/>
        </ext>
      </extLst>
    </bk>
    <bk>
      <extLst>
        <ext uri="{3e2802c4-a4d2-4d8b-9148-e3be6c30e623}">
          <xlrd:rvb i="347"/>
        </ext>
      </extLst>
    </bk>
    <bk>
      <extLst>
        <ext uri="{3e2802c4-a4d2-4d8b-9148-e3be6c30e623}">
          <xlrd:rvb i="350"/>
        </ext>
      </extLst>
    </bk>
    <bk>
      <extLst>
        <ext uri="{3e2802c4-a4d2-4d8b-9148-e3be6c30e623}">
          <xlrd:rvb i="353"/>
        </ext>
      </extLst>
    </bk>
    <bk>
      <extLst>
        <ext uri="{3e2802c4-a4d2-4d8b-9148-e3be6c30e623}">
          <xlrd:rvb i="356"/>
        </ext>
      </extLst>
    </bk>
    <bk>
      <extLst>
        <ext uri="{3e2802c4-a4d2-4d8b-9148-e3be6c30e623}">
          <xlrd:rvb i="359"/>
        </ext>
      </extLst>
    </bk>
    <bk>
      <extLst>
        <ext uri="{3e2802c4-a4d2-4d8b-9148-e3be6c30e623}">
          <xlrd:rvb i="362"/>
        </ext>
      </extLst>
    </bk>
    <bk>
      <extLst>
        <ext uri="{3e2802c4-a4d2-4d8b-9148-e3be6c30e623}">
          <xlrd:rvb i="365"/>
        </ext>
      </extLst>
    </bk>
    <bk>
      <extLst>
        <ext uri="{3e2802c4-a4d2-4d8b-9148-e3be6c30e623}">
          <xlrd:rvb i="368"/>
        </ext>
      </extLst>
    </bk>
    <bk>
      <extLst>
        <ext uri="{3e2802c4-a4d2-4d8b-9148-e3be6c30e623}">
          <xlrd:rvb i="371"/>
        </ext>
      </extLst>
    </bk>
    <bk>
      <extLst>
        <ext uri="{3e2802c4-a4d2-4d8b-9148-e3be6c30e623}">
          <xlrd:rvb i="374"/>
        </ext>
      </extLst>
    </bk>
    <bk>
      <extLst>
        <ext uri="{3e2802c4-a4d2-4d8b-9148-e3be6c30e623}">
          <xlrd:rvb i="377"/>
        </ext>
      </extLst>
    </bk>
    <bk>
      <extLst>
        <ext uri="{3e2802c4-a4d2-4d8b-9148-e3be6c30e623}">
          <xlrd:rvb i="380"/>
        </ext>
      </extLst>
    </bk>
    <bk>
      <extLst>
        <ext uri="{3e2802c4-a4d2-4d8b-9148-e3be6c30e623}">
          <xlrd:rvb i="383"/>
        </ext>
      </extLst>
    </bk>
    <bk>
      <extLst>
        <ext uri="{3e2802c4-a4d2-4d8b-9148-e3be6c30e623}">
          <xlrd:rvb i="386"/>
        </ext>
      </extLst>
    </bk>
    <bk>
      <extLst>
        <ext uri="{3e2802c4-a4d2-4d8b-9148-e3be6c30e623}">
          <xlrd:rvb i="389"/>
        </ext>
      </extLst>
    </bk>
    <bk>
      <extLst>
        <ext uri="{3e2802c4-a4d2-4d8b-9148-e3be6c30e623}">
          <xlrd:rvb i="392"/>
        </ext>
      </extLst>
    </bk>
    <bk>
      <extLst>
        <ext uri="{3e2802c4-a4d2-4d8b-9148-e3be6c30e623}">
          <xlrd:rvb i="395"/>
        </ext>
      </extLst>
    </bk>
    <bk>
      <extLst>
        <ext uri="{3e2802c4-a4d2-4d8b-9148-e3be6c30e623}">
          <xlrd:rvb i="398"/>
        </ext>
      </extLst>
    </bk>
    <bk>
      <extLst>
        <ext uri="{3e2802c4-a4d2-4d8b-9148-e3be6c30e623}">
          <xlrd:rvb i="401"/>
        </ext>
      </extLst>
    </bk>
    <bk>
      <extLst>
        <ext uri="{3e2802c4-a4d2-4d8b-9148-e3be6c30e623}">
          <xlrd:rvb i="404"/>
        </ext>
      </extLst>
    </bk>
    <bk>
      <extLst>
        <ext uri="{3e2802c4-a4d2-4d8b-9148-e3be6c30e623}">
          <xlrd:rvb i="407"/>
        </ext>
      </extLst>
    </bk>
    <bk>
      <extLst>
        <ext uri="{3e2802c4-a4d2-4d8b-9148-e3be6c30e623}">
          <xlrd:rvb i="410"/>
        </ext>
      </extLst>
    </bk>
    <bk>
      <extLst>
        <ext uri="{3e2802c4-a4d2-4d8b-9148-e3be6c30e623}">
          <xlrd:rvb i="413"/>
        </ext>
      </extLst>
    </bk>
    <bk>
      <extLst>
        <ext uri="{3e2802c4-a4d2-4d8b-9148-e3be6c30e623}">
          <xlrd:rvb i="416"/>
        </ext>
      </extLst>
    </bk>
    <bk>
      <extLst>
        <ext uri="{3e2802c4-a4d2-4d8b-9148-e3be6c30e623}">
          <xlrd:rvb i="419"/>
        </ext>
      </extLst>
    </bk>
    <bk>
      <extLst>
        <ext uri="{3e2802c4-a4d2-4d8b-9148-e3be6c30e623}">
          <xlrd:rvb i="422"/>
        </ext>
      </extLst>
    </bk>
    <bk>
      <extLst>
        <ext uri="{3e2802c4-a4d2-4d8b-9148-e3be6c30e623}">
          <xlrd:rvb i="425"/>
        </ext>
      </extLst>
    </bk>
    <bk>
      <extLst>
        <ext uri="{3e2802c4-a4d2-4d8b-9148-e3be6c30e623}">
          <xlrd:rvb i="428"/>
        </ext>
      </extLst>
    </bk>
    <bk>
      <extLst>
        <ext uri="{3e2802c4-a4d2-4d8b-9148-e3be6c30e623}">
          <xlrd:rvb i="431"/>
        </ext>
      </extLst>
    </bk>
    <bk>
      <extLst>
        <ext uri="{3e2802c4-a4d2-4d8b-9148-e3be6c30e623}">
          <xlrd:rvb i="434"/>
        </ext>
      </extLst>
    </bk>
    <bk>
      <extLst>
        <ext uri="{3e2802c4-a4d2-4d8b-9148-e3be6c30e623}">
          <xlrd:rvb i="437"/>
        </ext>
      </extLst>
    </bk>
    <bk>
      <extLst>
        <ext uri="{3e2802c4-a4d2-4d8b-9148-e3be6c30e623}">
          <xlrd:rvb i="440"/>
        </ext>
      </extLst>
    </bk>
    <bk>
      <extLst>
        <ext uri="{3e2802c4-a4d2-4d8b-9148-e3be6c30e623}">
          <xlrd:rvb i="443"/>
        </ext>
      </extLst>
    </bk>
    <bk>
      <extLst>
        <ext uri="{3e2802c4-a4d2-4d8b-9148-e3be6c30e623}">
          <xlrd:rvb i="446"/>
        </ext>
      </extLst>
    </bk>
    <bk>
      <extLst>
        <ext uri="{3e2802c4-a4d2-4d8b-9148-e3be6c30e623}">
          <xlrd:rvb i="449"/>
        </ext>
      </extLst>
    </bk>
    <bk>
      <extLst>
        <ext uri="{3e2802c4-a4d2-4d8b-9148-e3be6c30e623}">
          <xlrd:rvb i="452"/>
        </ext>
      </extLst>
    </bk>
    <bk>
      <extLst>
        <ext uri="{3e2802c4-a4d2-4d8b-9148-e3be6c30e623}">
          <xlrd:rvb i="455"/>
        </ext>
      </extLst>
    </bk>
    <bk>
      <extLst>
        <ext uri="{3e2802c4-a4d2-4d8b-9148-e3be6c30e623}">
          <xlrd:rvb i="458"/>
        </ext>
      </extLst>
    </bk>
    <bk>
      <extLst>
        <ext uri="{3e2802c4-a4d2-4d8b-9148-e3be6c30e623}">
          <xlrd:rvb i="461"/>
        </ext>
      </extLst>
    </bk>
    <bk>
      <extLst>
        <ext uri="{3e2802c4-a4d2-4d8b-9148-e3be6c30e623}">
          <xlrd:rvb i="464"/>
        </ext>
      </extLst>
    </bk>
    <bk>
      <extLst>
        <ext uri="{3e2802c4-a4d2-4d8b-9148-e3be6c30e623}">
          <xlrd:rvb i="467"/>
        </ext>
      </extLst>
    </bk>
    <bk>
      <extLst>
        <ext uri="{3e2802c4-a4d2-4d8b-9148-e3be6c30e623}">
          <xlrd:rvb i="470"/>
        </ext>
      </extLst>
    </bk>
    <bk>
      <extLst>
        <ext uri="{3e2802c4-a4d2-4d8b-9148-e3be6c30e623}">
          <xlrd:rvb i="473"/>
        </ext>
      </extLst>
    </bk>
    <bk>
      <extLst>
        <ext uri="{3e2802c4-a4d2-4d8b-9148-e3be6c30e623}">
          <xlrd:rvb i="476"/>
        </ext>
      </extLst>
    </bk>
    <bk>
      <extLst>
        <ext uri="{3e2802c4-a4d2-4d8b-9148-e3be6c30e623}">
          <xlrd:rvb i="479"/>
        </ext>
      </extLst>
    </bk>
    <bk>
      <extLst>
        <ext uri="{3e2802c4-a4d2-4d8b-9148-e3be6c30e623}">
          <xlrd:rvb i="482"/>
        </ext>
      </extLst>
    </bk>
    <bk>
      <extLst>
        <ext uri="{3e2802c4-a4d2-4d8b-9148-e3be6c30e623}">
          <xlrd:rvb i="485"/>
        </ext>
      </extLst>
    </bk>
    <bk>
      <extLst>
        <ext uri="{3e2802c4-a4d2-4d8b-9148-e3be6c30e623}">
          <xlrd:rvb i="488"/>
        </ext>
      </extLst>
    </bk>
    <bk>
      <extLst>
        <ext uri="{3e2802c4-a4d2-4d8b-9148-e3be6c30e623}">
          <xlrd:rvb i="491"/>
        </ext>
      </extLst>
    </bk>
    <bk>
      <extLst>
        <ext uri="{3e2802c4-a4d2-4d8b-9148-e3be6c30e623}">
          <xlrd:rvb i="494"/>
        </ext>
      </extLst>
    </bk>
    <bk>
      <extLst>
        <ext uri="{3e2802c4-a4d2-4d8b-9148-e3be6c30e623}">
          <xlrd:rvb i="497"/>
        </ext>
      </extLst>
    </bk>
    <bk>
      <extLst>
        <ext uri="{3e2802c4-a4d2-4d8b-9148-e3be6c30e623}">
          <xlrd:rvb i="500"/>
        </ext>
      </extLst>
    </bk>
    <bk>
      <extLst>
        <ext uri="{3e2802c4-a4d2-4d8b-9148-e3be6c30e623}">
          <xlrd:rvb i="503"/>
        </ext>
      </extLst>
    </bk>
    <bk>
      <extLst>
        <ext uri="{3e2802c4-a4d2-4d8b-9148-e3be6c30e623}">
          <xlrd:rvb i="506"/>
        </ext>
      </extLst>
    </bk>
    <bk>
      <extLst>
        <ext uri="{3e2802c4-a4d2-4d8b-9148-e3be6c30e623}">
          <xlrd:rvb i="509"/>
        </ext>
      </extLst>
    </bk>
    <bk>
      <extLst>
        <ext uri="{3e2802c4-a4d2-4d8b-9148-e3be6c30e623}">
          <xlrd:rvb i="512"/>
        </ext>
      </extLst>
    </bk>
    <bk>
      <extLst>
        <ext uri="{3e2802c4-a4d2-4d8b-9148-e3be6c30e623}">
          <xlrd:rvb i="515"/>
        </ext>
      </extLst>
    </bk>
    <bk>
      <extLst>
        <ext uri="{3e2802c4-a4d2-4d8b-9148-e3be6c30e623}">
          <xlrd:rvb i="518"/>
        </ext>
      </extLst>
    </bk>
    <bk>
      <extLst>
        <ext uri="{3e2802c4-a4d2-4d8b-9148-e3be6c30e623}">
          <xlrd:rvb i="521"/>
        </ext>
      </extLst>
    </bk>
    <bk>
      <extLst>
        <ext uri="{3e2802c4-a4d2-4d8b-9148-e3be6c30e623}">
          <xlrd:rvb i="524"/>
        </ext>
      </extLst>
    </bk>
    <bk>
      <extLst>
        <ext uri="{3e2802c4-a4d2-4d8b-9148-e3be6c30e623}">
          <xlrd:rvb i="527"/>
        </ext>
      </extLst>
    </bk>
    <bk>
      <extLst>
        <ext uri="{3e2802c4-a4d2-4d8b-9148-e3be6c30e623}">
          <xlrd:rvb i="530"/>
        </ext>
      </extLst>
    </bk>
    <bk>
      <extLst>
        <ext uri="{3e2802c4-a4d2-4d8b-9148-e3be6c30e623}">
          <xlrd:rvb i="533"/>
        </ext>
      </extLst>
    </bk>
    <bk>
      <extLst>
        <ext uri="{3e2802c4-a4d2-4d8b-9148-e3be6c30e623}">
          <xlrd:rvb i="536"/>
        </ext>
      </extLst>
    </bk>
    <bk>
      <extLst>
        <ext uri="{3e2802c4-a4d2-4d8b-9148-e3be6c30e623}">
          <xlrd:rvb i="539"/>
        </ext>
      </extLst>
    </bk>
    <bk>
      <extLst>
        <ext uri="{3e2802c4-a4d2-4d8b-9148-e3be6c30e623}">
          <xlrd:rvb i="541"/>
        </ext>
      </extLst>
    </bk>
    <bk>
      <extLst>
        <ext uri="{3e2802c4-a4d2-4d8b-9148-e3be6c30e623}">
          <xlrd:rvb i="544"/>
        </ext>
      </extLst>
    </bk>
    <bk>
      <extLst>
        <ext uri="{3e2802c4-a4d2-4d8b-9148-e3be6c30e623}">
          <xlrd:rvb i="547"/>
        </ext>
      </extLst>
    </bk>
    <bk>
      <extLst>
        <ext uri="{3e2802c4-a4d2-4d8b-9148-e3be6c30e623}">
          <xlrd:rvb i="550"/>
        </ext>
      </extLst>
    </bk>
    <bk>
      <extLst>
        <ext uri="{3e2802c4-a4d2-4d8b-9148-e3be6c30e623}">
          <xlrd:rvb i="553"/>
        </ext>
      </extLst>
    </bk>
    <bk>
      <extLst>
        <ext uri="{3e2802c4-a4d2-4d8b-9148-e3be6c30e623}">
          <xlrd:rvb i="556"/>
        </ext>
      </extLst>
    </bk>
    <bk>
      <extLst>
        <ext uri="{3e2802c4-a4d2-4d8b-9148-e3be6c30e623}">
          <xlrd:rvb i="558"/>
        </ext>
      </extLst>
    </bk>
    <bk>
      <extLst>
        <ext uri="{3e2802c4-a4d2-4d8b-9148-e3be6c30e623}">
          <xlrd:rvb i="561"/>
        </ext>
      </extLst>
    </bk>
    <bk>
      <extLst>
        <ext uri="{3e2802c4-a4d2-4d8b-9148-e3be6c30e623}">
          <xlrd:rvb i="564"/>
        </ext>
      </extLst>
    </bk>
    <bk>
      <extLst>
        <ext uri="{3e2802c4-a4d2-4d8b-9148-e3be6c30e623}">
          <xlrd:rvb i="567"/>
        </ext>
      </extLst>
    </bk>
    <bk>
      <extLst>
        <ext uri="{3e2802c4-a4d2-4d8b-9148-e3be6c30e623}">
          <xlrd:rvb i="570"/>
        </ext>
      </extLst>
    </bk>
    <bk>
      <extLst>
        <ext uri="{3e2802c4-a4d2-4d8b-9148-e3be6c30e623}">
          <xlrd:rvb i="573"/>
        </ext>
      </extLst>
    </bk>
    <bk>
      <extLst>
        <ext uri="{3e2802c4-a4d2-4d8b-9148-e3be6c30e623}">
          <xlrd:rvb i="576"/>
        </ext>
      </extLst>
    </bk>
    <bk>
      <extLst>
        <ext uri="{3e2802c4-a4d2-4d8b-9148-e3be6c30e623}">
          <xlrd:rvb i="579"/>
        </ext>
      </extLst>
    </bk>
    <bk>
      <extLst>
        <ext uri="{3e2802c4-a4d2-4d8b-9148-e3be6c30e623}">
          <xlrd:rvb i="582"/>
        </ext>
      </extLst>
    </bk>
    <bk>
      <extLst>
        <ext uri="{3e2802c4-a4d2-4d8b-9148-e3be6c30e623}">
          <xlrd:rvb i="585"/>
        </ext>
      </extLst>
    </bk>
    <bk>
      <extLst>
        <ext uri="{3e2802c4-a4d2-4d8b-9148-e3be6c30e623}">
          <xlrd:rvb i="588"/>
        </ext>
      </extLst>
    </bk>
    <bk>
      <extLst>
        <ext uri="{3e2802c4-a4d2-4d8b-9148-e3be6c30e623}">
          <xlrd:rvb i="591"/>
        </ext>
      </extLst>
    </bk>
    <bk>
      <extLst>
        <ext uri="{3e2802c4-a4d2-4d8b-9148-e3be6c30e623}">
          <xlrd:rvb i="594"/>
        </ext>
      </extLst>
    </bk>
    <bk>
      <extLst>
        <ext uri="{3e2802c4-a4d2-4d8b-9148-e3be6c30e623}">
          <xlrd:rvb i="597"/>
        </ext>
      </extLst>
    </bk>
    <bk>
      <extLst>
        <ext uri="{3e2802c4-a4d2-4d8b-9148-e3be6c30e623}">
          <xlrd:rvb i="600"/>
        </ext>
      </extLst>
    </bk>
    <bk>
      <extLst>
        <ext uri="{3e2802c4-a4d2-4d8b-9148-e3be6c30e623}">
          <xlrd:rvb i="603"/>
        </ext>
      </extLst>
    </bk>
    <bk>
      <extLst>
        <ext uri="{3e2802c4-a4d2-4d8b-9148-e3be6c30e623}">
          <xlrd:rvb i="606"/>
        </ext>
      </extLst>
    </bk>
    <bk>
      <extLst>
        <ext uri="{3e2802c4-a4d2-4d8b-9148-e3be6c30e623}">
          <xlrd:rvb i="609"/>
        </ext>
      </extLst>
    </bk>
  </futureMetadata>
  <cellMetadata count="1">
    <bk>
      <rc t="1" v="0"/>
    </bk>
  </cellMetadata>
  <valueMetadata count="20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valueMetadata>
</metadata>
</file>

<file path=xl/sharedStrings.xml><?xml version="1.0" encoding="utf-8"?>
<sst xmlns="http://schemas.openxmlformats.org/spreadsheetml/2006/main" count="305" uniqueCount="211">
  <si>
    <t>TKT</t>
  </si>
  <si>
    <t>ONEQ</t>
  </si>
  <si>
    <t>QQQ</t>
  </si>
  <si>
    <t>IWM</t>
  </si>
  <si>
    <t>IWC</t>
  </si>
  <si>
    <t>SPY</t>
  </si>
  <si>
    <t>DIA</t>
  </si>
  <si>
    <t>MDY</t>
  </si>
  <si>
    <t>XLK</t>
  </si>
  <si>
    <t>XLRE</t>
  </si>
  <si>
    <t>XLV</t>
  </si>
  <si>
    <t>XLF</t>
  </si>
  <si>
    <t>XLU</t>
  </si>
  <si>
    <t>XLE</t>
  </si>
  <si>
    <t>XLC</t>
  </si>
  <si>
    <t>XLP</t>
  </si>
  <si>
    <t>XLB</t>
  </si>
  <si>
    <t>XLY</t>
  </si>
  <si>
    <t>XLI</t>
  </si>
  <si>
    <t>ESPO</t>
  </si>
  <si>
    <t>GDX</t>
  </si>
  <si>
    <t>PBW</t>
  </si>
  <si>
    <t>SOCL</t>
  </si>
  <si>
    <t>SKYY</t>
  </si>
  <si>
    <t>GGME</t>
  </si>
  <si>
    <t>SMH</t>
  </si>
  <si>
    <t>MSOS</t>
  </si>
  <si>
    <t>XSW</t>
  </si>
  <si>
    <t>IAI</t>
  </si>
  <si>
    <t>IBB</t>
  </si>
  <si>
    <t>OIH</t>
  </si>
  <si>
    <t>XRT</t>
  </si>
  <si>
    <t>FDN</t>
  </si>
  <si>
    <t>JETS</t>
  </si>
  <si>
    <t>KRE</t>
  </si>
  <si>
    <t>IHI</t>
  </si>
  <si>
    <t>IHF</t>
  </si>
  <si>
    <t>TAN</t>
  </si>
  <si>
    <t>KBE</t>
  </si>
  <si>
    <t>IYM</t>
  </si>
  <si>
    <t>XOP</t>
  </si>
  <si>
    <t>KIE</t>
  </si>
  <si>
    <t>BOTZ</t>
  </si>
  <si>
    <t>PJP</t>
  </si>
  <si>
    <t>IFRA</t>
  </si>
  <si>
    <t>BETZ</t>
  </si>
  <si>
    <t>ITA</t>
  </si>
  <si>
    <t>PEJ</t>
  </si>
  <si>
    <t>XHB</t>
  </si>
  <si>
    <t>IYT</t>
  </si>
  <si>
    <t>PBJ</t>
  </si>
  <si>
    <t>IWW</t>
  </si>
  <si>
    <t>SPHB</t>
  </si>
  <si>
    <t>SPMV</t>
  </si>
  <si>
    <t>QUAL</t>
  </si>
  <si>
    <t>SPGP</t>
  </si>
  <si>
    <t>SPYD</t>
  </si>
  <si>
    <t>SPMO</t>
  </si>
  <si>
    <t>RPG</t>
  </si>
  <si>
    <t>SPHD</t>
  </si>
  <si>
    <t>SPYV</t>
  </si>
  <si>
    <t>RWL</t>
  </si>
  <si>
    <t>RSP</t>
  </si>
  <si>
    <t>SPLV</t>
  </si>
  <si>
    <t>RPV</t>
  </si>
  <si>
    <t>SPVU</t>
  </si>
  <si>
    <t>SPVM</t>
  </si>
  <si>
    <t>NOBL</t>
  </si>
  <si>
    <t>PKW</t>
  </si>
  <si>
    <t>TSLA</t>
  </si>
  <si>
    <t>GOOG</t>
  </si>
  <si>
    <t>AAPL</t>
  </si>
  <si>
    <t>NVDA</t>
  </si>
  <si>
    <t>MSFT</t>
  </si>
  <si>
    <t>META</t>
  </si>
  <si>
    <t>AMZN</t>
  </si>
  <si>
    <t>IVW</t>
  </si>
  <si>
    <t>IVE</t>
  </si>
  <si>
    <t>IJS</t>
  </si>
  <si>
    <t>IJJ</t>
  </si>
  <si>
    <t>IJT</t>
  </si>
  <si>
    <t>IJK</t>
  </si>
  <si>
    <t>EDC</t>
  </si>
  <si>
    <t>TQQQ</t>
  </si>
  <si>
    <t>TNA</t>
  </si>
  <si>
    <t>SPXL</t>
  </si>
  <si>
    <t>UDOW</t>
  </si>
  <si>
    <t>MIDU</t>
  </si>
  <si>
    <t>IPO</t>
  </si>
  <si>
    <t>PSP</t>
  </si>
  <si>
    <t>GURU</t>
  </si>
  <si>
    <t>CSD</t>
  </si>
  <si>
    <t>ZROZ</t>
  </si>
  <si>
    <t>TLT</t>
  </si>
  <si>
    <t>TLH</t>
  </si>
  <si>
    <t>IGOV</t>
  </si>
  <si>
    <t>EMB</t>
  </si>
  <si>
    <t>LQD</t>
  </si>
  <si>
    <t>PFF</t>
  </si>
  <si>
    <t>IEF</t>
  </si>
  <si>
    <t>GOVT</t>
  </si>
  <si>
    <t>AGG</t>
  </si>
  <si>
    <t>TIP</t>
  </si>
  <si>
    <t>HYG</t>
  </si>
  <si>
    <t>IEI</t>
  </si>
  <si>
    <t>SHY</t>
  </si>
  <si>
    <t>BNDX</t>
  </si>
  <si>
    <t>BKLN</t>
  </si>
  <si>
    <t>MUB</t>
  </si>
  <si>
    <t>UNG</t>
  </si>
  <si>
    <t>SLV</t>
  </si>
  <si>
    <t>PPLT</t>
  </si>
  <si>
    <t>CPER</t>
  </si>
  <si>
    <t>DBB</t>
  </si>
  <si>
    <t>URA</t>
  </si>
  <si>
    <t>XME</t>
  </si>
  <si>
    <t>UGA</t>
  </si>
  <si>
    <t>PALL</t>
  </si>
  <si>
    <t>WOOD</t>
  </si>
  <si>
    <t>USO</t>
  </si>
  <si>
    <t>LIT</t>
  </si>
  <si>
    <t>DBC</t>
  </si>
  <si>
    <t>NANR</t>
  </si>
  <si>
    <t>MOO</t>
  </si>
  <si>
    <t>SOYB</t>
  </si>
  <si>
    <t>VEGI</t>
  </si>
  <si>
    <t>WEAT</t>
  </si>
  <si>
    <t>CORN</t>
  </si>
  <si>
    <t>DBA</t>
  </si>
  <si>
    <t>CANE</t>
  </si>
  <si>
    <t>FXI</t>
  </si>
  <si>
    <t>TUR</t>
  </si>
  <si>
    <t>EWH</t>
  </si>
  <si>
    <t>EWP</t>
  </si>
  <si>
    <t>INDA</t>
  </si>
  <si>
    <t>VNM</t>
  </si>
  <si>
    <t>EWA</t>
  </si>
  <si>
    <t>EWT</t>
  </si>
  <si>
    <t>EEM</t>
  </si>
  <si>
    <t>EWI</t>
  </si>
  <si>
    <t>EWS</t>
  </si>
  <si>
    <t>EWL</t>
  </si>
  <si>
    <t>EWN</t>
  </si>
  <si>
    <t>FM</t>
  </si>
  <si>
    <t>VEU</t>
  </si>
  <si>
    <t>SPEU</t>
  </si>
  <si>
    <t>EWU</t>
  </si>
  <si>
    <t>EWJ</t>
  </si>
  <si>
    <t>EWC</t>
  </si>
  <si>
    <t>EWY</t>
  </si>
  <si>
    <t>EWG</t>
  </si>
  <si>
    <t>EWW</t>
  </si>
  <si>
    <t>EWQ</t>
  </si>
  <si>
    <t>EWZ</t>
  </si>
  <si>
    <t>EIS</t>
  </si>
  <si>
    <t>KSA</t>
  </si>
  <si>
    <t>UAE</t>
  </si>
  <si>
    <t>GLD</t>
  </si>
  <si>
    <t>FXB</t>
  </si>
  <si>
    <t>CEW</t>
  </si>
  <si>
    <t>FXA</t>
  </si>
  <si>
    <t>FXE</t>
  </si>
  <si>
    <t>FXC</t>
  </si>
  <si>
    <t>FXY</t>
  </si>
  <si>
    <t>FXF</t>
  </si>
  <si>
    <t>UUP</t>
  </si>
  <si>
    <t>BOAT</t>
  </si>
  <si>
    <t>RSPU</t>
  </si>
  <si>
    <t>RSPG</t>
  </si>
  <si>
    <t>RSPM</t>
  </si>
  <si>
    <t>RSPN</t>
  </si>
  <si>
    <t>RSPT</t>
  </si>
  <si>
    <t>RSPF</t>
  </si>
  <si>
    <t>RSPC</t>
  </si>
  <si>
    <t>RSPH</t>
  </si>
  <si>
    <t>RSPD</t>
  </si>
  <si>
    <t>RSPS</t>
  </si>
  <si>
    <t>RSPR</t>
  </si>
  <si>
    <t>NLR</t>
  </si>
  <si>
    <t>ETF</t>
  </si>
  <si>
    <t>VIXY</t>
  </si>
  <si>
    <t>UVXY</t>
  </si>
  <si>
    <t>UVIX</t>
  </si>
  <si>
    <t>SPXS</t>
  </si>
  <si>
    <t>TZA</t>
  </si>
  <si>
    <t>SQQQ</t>
  </si>
  <si>
    <t>FNGD</t>
  </si>
  <si>
    <t>Price</t>
  </si>
  <si>
    <t>Change</t>
  </si>
  <si>
    <t>TKT_DATA</t>
  </si>
  <si>
    <t>Index</t>
  </si>
  <si>
    <t>IBIT</t>
  </si>
  <si>
    <t>EPI</t>
  </si>
  <si>
    <t>FEZ</t>
  </si>
  <si>
    <t>MAGX</t>
  </si>
  <si>
    <t>VIX</t>
  </si>
  <si>
    <t>DXYZ</t>
  </si>
  <si>
    <t>VXF</t>
  </si>
  <si>
    <t>QQQJ</t>
  </si>
  <si>
    <t>ETHA</t>
  </si>
  <si>
    <t>QTUM</t>
  </si>
  <si>
    <t>NUKZ</t>
  </si>
  <si>
    <t>DRAM</t>
  </si>
  <si>
    <t>CHAT</t>
  </si>
  <si>
    <t>SOXX</t>
  </si>
  <si>
    <t>BITW</t>
  </si>
  <si>
    <t>DTCR</t>
  </si>
  <si>
    <t>REMX</t>
  </si>
  <si>
    <t>LAZR</t>
  </si>
  <si>
    <t>DISK</t>
  </si>
  <si>
    <t>IHAK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</si>
</sst>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10" fontId="0" fillId="0" borderId="0" xfId="0" applyNumberFormat="1"/>
    <xf numFmtId="0" fontId="1" fillId="0" borderId="0" xfId="0" applyFont="1"/>
  </cellXfs>
  <cellStyles count="1">
    <cellStyle name="Normal" xfId="0" builtinId="0"/>
  </cellStyles>
  <dxfs count="40">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ichStyles" Target="richData/richStyles.xml"/><Relationship Id="rId30"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10">
  <rv s="0">
    <v>https://www.bing.com/financeapi/forcetrigger?t=a23hqh&amp;q=ARCX%3aSPY&amp;form=skydnc</v>
    <v>Learn more on Bing</v>
  </rv>
  <rv s="1">
    <v>en-US</v>
    <v>a23hqh</v>
    <v>268435456</v>
    <v>1</v>
    <v>Powered by Refinitiv</v>
    <v>0</v>
    <v>State Street SPDR S&amp;P500 (ARCX:SPY)</v>
    <v>2</v>
    <v>3</v>
    <v>Finance</v>
    <v>4</v>
    <v>779.37</v>
    <v>629.28</v>
    <v>0.99880000000000002</v>
    <v>-3.48</v>
    <v>1.5769999999999998E-4</v>
    <v>-4.5529999999999998E-3</v>
    <v>0.12</v>
    <v>USD</v>
    <v>NYSE Arca</v>
    <v>ARCX</v>
    <v>9.4499999999999998E-4</v>
    <v>763.52</v>
    <v>ETF</v>
    <v>46279.996473228908</v>
    <v>0</v>
    <v>757.93</v>
    <v>811937033817.45996</v>
    <v>State Street SPDR S&amp;P500</v>
    <v>759</v>
    <v>764.29</v>
    <v>760.81</v>
    <v>761</v>
    <v>SPY</v>
    <v>State Street SPDR S&amp;P500 (ARCX:SPY)</v>
    <v>43991070</v>
    <v>35690836</v>
  </rv>
  <rv s="2">
    <v>1</v>
  </rv>
  <rv s="0">
    <v>https://www.bing.com/financeapi/forcetrigger?t=a21mim&amp;q=XNAS%3aQQQ&amp;form=skydnc</v>
    <v>Learn more on Bing</v>
  </rv>
  <rv s="1">
    <v>en-US</v>
    <v>a21mim</v>
    <v>268435456</v>
    <v>1</v>
    <v>Powered by Refinitiv</v>
    <v>0</v>
    <v>Invesco QQQ Trust 1 (XNAS:QQQ)</v>
    <v>2</v>
    <v>3</v>
    <v>Finance</v>
    <v>4</v>
    <v>748.65</v>
    <v>555.6</v>
    <v>1.0137</v>
    <v>-5.7</v>
    <v>2.4000000000000001E-4</v>
    <v>-7.9730000000000009E-3</v>
    <v>0.17019999999999999</v>
    <v>USD</v>
    <v>Nasdaq Stock Market</v>
    <v>XNAS</v>
    <v>1.8E-3</v>
    <v>712.95</v>
    <v>ETF</v>
    <v>46279.996422164062</v>
    <v>3</v>
    <v>702.74</v>
    <v>488981000838.15997</v>
    <v>Invesco QQQ Trust 1</v>
    <v>703.32500000000005</v>
    <v>714.88</v>
    <v>709.18</v>
    <v>709.35019999999997</v>
    <v>QQQ</v>
    <v>Invesco QQQ Trust 1 (XNAS:QQQ)</v>
    <v>35215893</v>
    <v>30403041</v>
  </rv>
  <rv s="2">
    <v>4</v>
  </rv>
  <rv s="0">
    <v>https://www.bing.com/financeapi/forcetrigger?t=a1r2c7&amp;q=ARCX%3aDIA&amp;form=skydnc</v>
    <v>Learn more on Bing</v>
  </rv>
  <rv s="1">
    <v>en-US</v>
    <v>a1r2c7</v>
    <v>268435456</v>
    <v>1</v>
    <v>Powered by Refinitiv</v>
    <v>0</v>
    <v>State St SPDR DJ Inds Av (ARCX:DIA)</v>
    <v>2</v>
    <v>3</v>
    <v>Finance</v>
    <v>4</v>
    <v>546.75</v>
    <v>450.44</v>
    <v>0.94830000000000003</v>
    <v>-1.34</v>
    <v>1.371E-4</v>
    <v>-2.5490000000000001E-3</v>
    <v>7.1900000000000006E-2</v>
    <v>USD</v>
    <v>NYSE Arca</v>
    <v>ARCX</v>
    <v>1.6000000000000001E-3</v>
    <v>526.78499999999997</v>
    <v>ETF</v>
    <v>46279.995766168751</v>
    <v>6</v>
    <v>523.09500000000003</v>
    <v>45455501712.849998</v>
    <v>State St SPDR DJ Inds Av</v>
    <v>524.54</v>
    <v>525.79</v>
    <v>524.45000000000005</v>
    <v>524.56190000000004</v>
    <v>DIA</v>
    <v>State St SPDR DJ Inds Av (ARCX:DIA)</v>
    <v>2702142</v>
    <v>2950335</v>
  </rv>
  <rv s="2">
    <v>7</v>
  </rv>
  <rv s="0">
    <v>https://www.bing.com/financeapi/forcetrigger?t=a1vxfr&amp;q=ARCX%3aIWM&amp;form=skydnc</v>
    <v>Learn more on Bing</v>
  </rv>
  <rv s="1">
    <v>en-US</v>
    <v>a1vxfr</v>
    <v>268435456</v>
    <v>1</v>
    <v>Powered by Refinitiv</v>
    <v>0</v>
    <v>iShares:Russ 2000 ETF (ARCX:IWM)</v>
    <v>2</v>
    <v>3</v>
    <v>Finance</v>
    <v>4</v>
    <v>305.18</v>
    <v>228.9</v>
    <v>0.99950000000000006</v>
    <v>-1.01</v>
    <v>3.1260000000000001E-4</v>
    <v>-3.4960000000000004E-3</v>
    <v>0.09</v>
    <v>USD</v>
    <v>NYSE Arca</v>
    <v>ARCX</v>
    <v>1.9E-3</v>
    <v>289.83999999999997</v>
    <v>ETF</v>
    <v>46279.994924606253</v>
    <v>9</v>
    <v>287.05500000000001</v>
    <v>80461000055.369995</v>
    <v>iShares:Russ 2000 ETF</v>
    <v>287.49</v>
    <v>288.89</v>
    <v>287.88</v>
    <v>288</v>
    <v>IWM</v>
    <v>iShares:Russ 2000 ETF (ARCX:IWM)</v>
    <v>26060374</v>
    <v>17707420</v>
  </rv>
  <rv s="2">
    <v>10</v>
  </rv>
  <rv s="0">
    <v>https://www.bing.com/financeapi/forcetrigger?t=a1vbbh&amp;q=XNAS%3aIEF&amp;form=skydnc</v>
    <v>Learn more on Bing</v>
  </rv>
  <rv s="1">
    <v>en-US</v>
    <v>a1vbbh</v>
    <v>268435456</v>
    <v>1</v>
    <v>Powered by Refinitiv</v>
    <v>0</v>
    <v>iShares:7-10 Trs Bd (XNAS:IEF)</v>
    <v>2</v>
    <v>3</v>
    <v>Finance</v>
    <v>5</v>
    <v>98.045000000000002</v>
    <v>90.754400000000004</v>
    <v>1.2090000000000001</v>
    <v>-0.08</v>
    <v>8.7980000000000003E-4</v>
    <v>-8.7900000000000001E-4</v>
    <v>0.08</v>
    <v>USD</v>
    <v>Nasdaq Stock Market</v>
    <v>XNAS</v>
    <v>1.5E-3</v>
    <v>91.25</v>
    <v>ETF</v>
    <v>46279.985058321094</v>
    <v>12</v>
    <v>90.754400000000004</v>
    <v>41824055447.360001</v>
    <v>iShares:7-10 Trs Bd</v>
    <v>90.94</v>
    <v>91.01</v>
    <v>90.93</v>
    <v>91.01</v>
    <v>IEF</v>
    <v>iShares:7-10 Trs Bd (XNAS:IEF)</v>
    <v>8885751</v>
    <v>8473562</v>
  </rv>
  <rv s="2">
    <v>13</v>
  </rv>
  <rv s="3">
    <v>en-US</v>
    <v>cc5pdm</v>
    <v>268435456</v>
    <v>1</v>
    <v>Powered by Refinitiv</v>
    <v>6</v>
    <v>ISHARES BITCOIN ETF (XNAS:IBIT)</v>
    <v>7</v>
    <v>8</v>
    <v>Finance</v>
    <v>4</v>
    <v>71.819999999999993</v>
    <v>32.840000000000003</v>
    <v>0.97</v>
    <v>-1.0539E-2</v>
    <v>2.2161E-2</v>
    <v>-0.47149999999999997</v>
    <v>USD</v>
    <v>Nasdaq Stock Market</v>
    <v>XNAS</v>
    <v>2.5000000000000001E-3</v>
    <v>44.94</v>
    <v>ETF</v>
    <v>46279.996709803127</v>
    <v>44.04</v>
    <v>61435100001.459999</v>
    <v>ISHARES BITCOIN ETF</v>
    <v>44.06</v>
    <v>43.77</v>
    <v>44.74</v>
    <v>44.268500000000003</v>
    <v>IBIT</v>
    <v>ISHARES BITCOIN ETF (XNAS:IBIT)</v>
    <v>46812008</v>
    <v>55191240</v>
  </rv>
  <rv s="2">
    <v>15</v>
  </rv>
  <rv s="0">
    <v>https://www.bing.com/financeapi/forcetrigger?t=a253hw&amp;q=ARCX%3aUSO&amp;form=skydnc</v>
    <v>Learn more on Bing</v>
  </rv>
  <rv s="1">
    <v>en-US</v>
    <v>a253hw</v>
    <v>268435456</v>
    <v>1</v>
    <v>Powered by Refinitiv</v>
    <v>0</v>
    <v>United States Oil Fund (ARCX:USO)</v>
    <v>2</v>
    <v>3</v>
    <v>Finance</v>
    <v>4</v>
    <v>160.26990000000001</v>
    <v>65.984999999999999</v>
    <v>1.0470999999999999</v>
    <v>1.74</v>
    <v>1.4039999999999999E-3</v>
    <v>1.1233E-2</v>
    <v>0.22</v>
    <v>USD</v>
    <v>NYSE Arca</v>
    <v>ARCX</v>
    <v>8.6E-3</v>
    <v>160.26990000000001</v>
    <v>ETF</v>
    <v>46279.996498321096</v>
    <v>17</v>
    <v>154.77000000000001</v>
    <v>1790464986.5799999</v>
    <v>United States Oil Fund</v>
    <v>159.42500000000001</v>
    <v>154.9</v>
    <v>156.63999999999999</v>
    <v>156.88</v>
    <v>USO</v>
    <v>United States Oil Fund (ARCX:USO)</v>
    <v>7685238</v>
    <v>4937676</v>
  </rv>
  <rv s="2">
    <v>18</v>
  </rv>
  <rv s="0">
    <v>https://www.bing.com/financeapi/forcetrigger?t=a1ssk2&amp;q=ARCX%3aFEZ&amp;form=skydnc</v>
    <v>Learn more on Bing</v>
  </rv>
  <rv s="1">
    <v>en-US</v>
    <v>a1ssk2</v>
    <v>268435456</v>
    <v>1</v>
    <v>Powered by Refinitiv</v>
    <v>0</v>
    <v>SS SPDR EU SX50 (ARCX:FEZ)</v>
    <v>2</v>
    <v>3</v>
    <v>Finance</v>
    <v>5</v>
    <v>72.36</v>
    <v>59.564999999999998</v>
    <v>1.0765</v>
    <v>-0.82</v>
    <v>0</v>
    <v>-1.1765000000000001E-2</v>
    <v>0</v>
    <v>USD</v>
    <v>NYSE Arca</v>
    <v>ARCX</v>
    <v>2.8999999999999998E-3</v>
    <v>69.204999999999998</v>
    <v>ETF</v>
    <v>46279.979197245309</v>
    <v>20</v>
    <v>68.424999999999997</v>
    <v>4488203380.8199997</v>
    <v>SS SPDR EU SX50</v>
    <v>68.64</v>
    <v>69.7</v>
    <v>68.88</v>
    <v>68.88</v>
    <v>FEZ</v>
    <v>SS SPDR EU SX50 (ARCX:FEZ)</v>
    <v>946544</v>
    <v>699326</v>
  </rv>
  <rv s="2">
    <v>21</v>
  </rv>
  <rv s="0">
    <v>https://www.bing.com/financeapi/forcetrigger?t=a1sfkr&amp;q=ARCX%3aEWJ&amp;form=skydnc</v>
    <v>Learn more on Bing</v>
  </rv>
  <rv s="1">
    <v>en-US</v>
    <v>a1sfkr</v>
    <v>268435456</v>
    <v>1</v>
    <v>Powered by Refinitiv</v>
    <v>0</v>
    <v>iShares:MSCI Japan (ARCX:EWJ)</v>
    <v>2</v>
    <v>3</v>
    <v>Finance</v>
    <v>5</v>
    <v>98.784999999999997</v>
    <v>78.204999999999998</v>
    <v>0.84309999999999996</v>
    <v>-0.98</v>
    <v>0</v>
    <v>-9.9430000000000004E-3</v>
    <v>0</v>
    <v>USD</v>
    <v>NYSE Arca</v>
    <v>ARCX</v>
    <v>4.8999999999999998E-3</v>
    <v>98.08</v>
    <v>ETF</v>
    <v>46279.979197568748</v>
    <v>23</v>
    <v>97.09</v>
    <v>22687312041.34</v>
    <v>iShares:MSCI Japan</v>
    <v>97.37</v>
    <v>98.56</v>
    <v>97.58</v>
    <v>97.58</v>
    <v>EWJ</v>
    <v>iShares:MSCI Japan (ARCX:EWJ)</v>
    <v>4220467</v>
    <v>3501492</v>
  </rv>
  <rv s="2">
    <v>24</v>
  </rv>
  <rv s="0">
    <v>https://www.bing.com/financeapi/forcetrigger?t=a1s2ww&amp;q=ARCX%3aEPI&amp;form=skydnc</v>
    <v>Learn more on Bing</v>
  </rv>
  <rv s="1">
    <v>en-US</v>
    <v>a1s2ww</v>
    <v>268435456</v>
    <v>1</v>
    <v>Powered by Refinitiv</v>
    <v>0</v>
    <v>WisdomTree:India Earns (ARCX:EPI)</v>
    <v>2</v>
    <v>3</v>
    <v>Finance</v>
    <v>5</v>
    <v>47.2</v>
    <v>39.405000000000001</v>
    <v>0.89510000000000001</v>
    <v>-0.14000000000000001</v>
    <v>0</v>
    <v>-3.31E-3</v>
    <v>0</v>
    <v>USD</v>
    <v>NYSE Arca</v>
    <v>ARCX</v>
    <v>8.3999999999999995E-3</v>
    <v>42.26</v>
    <v>ETF</v>
    <v>46279.979177060159</v>
    <v>26</v>
    <v>41.87</v>
    <v>2041215989.1500001</v>
    <v>WisdomTree:India Earns</v>
    <v>41.87</v>
    <v>42.29</v>
    <v>42.15</v>
    <v>42.15</v>
    <v>EPI</v>
    <v>WisdomTree:India Earns (ARCX:EPI)</v>
    <v>220916</v>
    <v>304116</v>
  </rv>
  <rv s="2">
    <v>27</v>
  </rv>
  <rv s="0">
    <v>https://www.bing.com/financeapi/forcetrigger?t=a1tkf2&amp;q=ARCX%3aFXI&amp;form=skydnc</v>
    <v>Learn more on Bing</v>
  </rv>
  <rv s="1">
    <v>en-US</v>
    <v>a1tkf2</v>
    <v>268435456</v>
    <v>1</v>
    <v>Powered by Refinitiv</v>
    <v>0</v>
    <v>iShares:China Large Cp (ARCX:FXI)</v>
    <v>2</v>
    <v>3</v>
    <v>Finance</v>
    <v>4</v>
    <v>42</v>
    <v>31.19</v>
    <v>0.73770000000000002</v>
    <v>0.35499999999999998</v>
    <v>-8.6110000000000006E-4</v>
    <v>1.0293000000000002E-2</v>
    <v>-0.03</v>
    <v>USD</v>
    <v>NYSE Arca</v>
    <v>ARCX</v>
    <v>7.3000000000000001E-3</v>
    <v>34.979999999999997</v>
    <v>ETF</v>
    <v>46279.993079733591</v>
    <v>29</v>
    <v>34.645000000000003</v>
    <v>4230867033.98</v>
    <v>iShares:China Large Cp</v>
    <v>34.68</v>
    <v>34.49</v>
    <v>34.844999999999999</v>
    <v>34.81</v>
    <v>FXI</v>
    <v>iShares:China Large Cp (ARCX:FXI)</v>
    <v>15105442</v>
    <v>15981110</v>
  </rv>
  <rv s="2">
    <v>30</v>
  </rv>
  <rv s="0">
    <v>https://www.bing.com/financeapi/forcetrigger?t=a1sezr&amp;q=ARCX%3aEWC&amp;form=skydnc</v>
    <v>Learn more on Bing</v>
  </rv>
  <rv s="1">
    <v>en-US</v>
    <v>a1sezr</v>
    <v>268435456</v>
    <v>1</v>
    <v>Powered by Refinitiv</v>
    <v>0</v>
    <v>iShares:MSCI Canada (ARCX:EWC)</v>
    <v>2</v>
    <v>3</v>
    <v>Finance</v>
    <v>5</v>
    <v>62.71</v>
    <v>49.309899999999999</v>
    <v>1.0351999999999999</v>
    <v>-0.08</v>
    <v>8.2640000000000003E-4</v>
    <v>-1.3209999999999999E-3</v>
    <v>0.05</v>
    <v>USD</v>
    <v>NYSE Arca</v>
    <v>ARCX</v>
    <v>5.0000000000000001E-3</v>
    <v>60.75</v>
    <v>ETF</v>
    <v>46279.979178888279</v>
    <v>32</v>
    <v>60.094999999999999</v>
    <v>6848205756.1599998</v>
    <v>iShares:MSCI Canada</v>
    <v>60.21</v>
    <v>60.58</v>
    <v>60.5</v>
    <v>60.55</v>
    <v>EWC</v>
    <v>iShares:MSCI Canada (ARCX:EWC)</v>
    <v>2017739</v>
    <v>1705675</v>
  </rv>
  <rv s="2">
    <v>33</v>
  </rv>
  <rv s="0">
    <v>https://www.bing.com/financeapi/forcetrigger?t=a1sgvh&amp;q=ARCX%3aEWW&amp;form=skydnc</v>
    <v>Learn more on Bing</v>
  </rv>
  <rv s="1">
    <v>en-US</v>
    <v>a1sgvh</v>
    <v>268435456</v>
    <v>1</v>
    <v>Powered by Refinitiv</v>
    <v>0</v>
    <v>iShares:MSCI Mexico (ARCX:EWW)</v>
    <v>2</v>
    <v>3</v>
    <v>Finance</v>
    <v>5</v>
    <v>81.649900000000002</v>
    <v>64.180000000000007</v>
    <v>0.80520000000000003</v>
    <v>-0.56000000000000005</v>
    <v>0</v>
    <v>-7.4289999999999998E-3</v>
    <v>0</v>
    <v>USD</v>
    <v>NYSE Arca</v>
    <v>ARCX</v>
    <v>5.0000000000000001E-3</v>
    <v>75.05</v>
    <v>ETF</v>
    <v>46279.979197360939</v>
    <v>35</v>
    <v>73.900000000000006</v>
    <v>1819569370.8900001</v>
    <v>iShares:MSCI Mexico</v>
    <v>74.09</v>
    <v>75.38</v>
    <v>74.819999999999993</v>
    <v>74.819999999999993</v>
    <v>EWW</v>
    <v>iShares:MSCI Mexico (ARCX:EWW)</v>
    <v>1147019</v>
    <v>1049585</v>
  </rv>
  <rv s="2">
    <v>36</v>
  </rv>
  <rv s="0">
    <v>https://www.bing.com/financeapi/forcetrigger?t=a33pk2&amp;q=CBOE+MKT+VOLATILITY+IDX&amp;form=skydnc</v>
    <v>Learn more on Bing</v>
  </rv>
  <rv s="4">
    <v>en-US</v>
    <v>a33pk2</v>
    <v>268435456</v>
    <v>1</v>
    <v>Powered by Refinitiv</v>
    <v>9</v>
    <v>CBOE MKT VOLATILITY IDX</v>
    <v>2</v>
    <v>10</v>
    <v>Finance</v>
    <v>11</v>
    <v>35.299999999999997</v>
    <v>13.38</v>
    <v>1.26</v>
    <v>7.9545000000000005E-2</v>
    <v>US</v>
    <v>18.170000000000002</v>
    <v>Index</v>
    <v>38</v>
    <v>16.579999999999998</v>
    <v>CBOE MKT VOLATILITY IDX</v>
    <v>17.5</v>
    <v>15.84</v>
    <v>17.100000000000001</v>
    <v>VIX</v>
    <v>CBOE MKT VOLATILITY IDX</v>
  </rv>
  <rv s="2">
    <v>39</v>
  </rv>
  <rv s="0">
    <v>https://www.bing.com/financeapi/forcetrigger?t=a1xghw&amp;q=ARCX%3aMDY&amp;form=skydnc</v>
    <v>Learn more on Bing</v>
  </rv>
  <rv s="1">
    <v>en-US</v>
    <v>a1xghw</v>
    <v>268435456</v>
    <v>1</v>
    <v>Powered by Refinitiv</v>
    <v>0</v>
    <v>StateStreet SPDR SPMC400 (ARCX:MDY)</v>
    <v>2</v>
    <v>3</v>
    <v>Finance</v>
    <v>5</v>
    <v>717.35</v>
    <v>568.21</v>
    <v>0.99370000000000003</v>
    <v>-6.06</v>
    <v>3.7170000000000004E-4</v>
    <v>-8.9289999999999994E-3</v>
    <v>0.25</v>
    <v>USD</v>
    <v>NYSE Arca</v>
    <v>ARCX</v>
    <v>2.3E-3</v>
    <v>676.19</v>
    <v>ETF</v>
    <v>46279.979236885934</v>
    <v>41</v>
    <v>671.995</v>
    <v>26251734804.18</v>
    <v>StateStreet SPDR SPMC400</v>
    <v>673.94</v>
    <v>678.68</v>
    <v>672.62</v>
    <v>672.87</v>
    <v>MDY</v>
    <v>StateStreet SPDR SPMC400 (ARCX:MDY)</v>
    <v>623441</v>
    <v>477015</v>
  </rv>
  <rv s="2">
    <v>42</v>
  </rv>
  <rv s="0">
    <v>https://www.bing.com/financeapi/forcetrigger?t=a1z91h&amp;q=XNAS%3aONEQ&amp;form=skydnc</v>
    <v>Learn more on Bing</v>
  </rv>
  <rv s="1">
    <v>en-US</v>
    <v>a1z91h</v>
    <v>268435456</v>
    <v>1</v>
    <v>Powered by Refinitiv</v>
    <v>0</v>
    <v>Fidelity Nasd Composite (XNAS:ONEQ)</v>
    <v>2</v>
    <v>3</v>
    <v>Finance</v>
    <v>5</v>
    <v>107.07</v>
    <v>81.45</v>
    <v>1.0436000000000001</v>
    <v>-0.5</v>
    <v>-5.8090000000000008E-4</v>
    <v>-4.8180000000000002E-3</v>
    <v>-0.06</v>
    <v>USD</v>
    <v>Nasdaq Stock Market</v>
    <v>XNAS</v>
    <v>2.0999999999999999E-3</v>
    <v>103.78</v>
    <v>ETF</v>
    <v>46279.979194791405</v>
    <v>44</v>
    <v>102.45010000000001</v>
    <v>10751847903.190001</v>
    <v>Fidelity Nasd Composite</v>
    <v>102.63</v>
    <v>103.78</v>
    <v>103.28</v>
    <v>103.22</v>
    <v>ONEQ</v>
    <v>Fidelity Nasd Composite (XNAS:ONEQ)</v>
    <v>201314</v>
    <v>193627</v>
  </rv>
  <rv s="2">
    <v>45</v>
  </rv>
  <rv s="0">
    <v>https://www.bing.com/financeapi/forcetrigger?t=a1vx4c&amp;q=ARCX%3aIWC&amp;form=skydnc</v>
    <v>Learn more on Bing</v>
  </rv>
  <rv s="1">
    <v>en-US</v>
    <v>a1vx4c</v>
    <v>268435456</v>
    <v>1</v>
    <v>Powered by Refinitiv</v>
    <v>0</v>
    <v>iShares:Micro-Cap (ARCX:IWC)</v>
    <v>2</v>
    <v>3</v>
    <v>Finance</v>
    <v>5</v>
    <v>203.28</v>
    <v>143.53819999999999</v>
    <v>1.0912999999999999</v>
    <v>-0.21479999999999999</v>
    <v>0</v>
    <v>-1.126E-3</v>
    <v>0</v>
    <v>USD</v>
    <v>NYSE Arca</v>
    <v>ARCX</v>
    <v>6.0000000000000001E-3</v>
    <v>191.64</v>
    <v>ETF</v>
    <v>46279.979181041403</v>
    <v>47</v>
    <v>189.42</v>
    <v>1491728546.1400001</v>
    <v>iShares:Micro-Cap</v>
    <v>189.42</v>
    <v>190.84</v>
    <v>190.62520000000001</v>
    <v>190.62520000000001</v>
    <v>IWC</v>
    <v>iShares:Micro-Cap (ARCX:IWC)</v>
    <v>33039</v>
    <v>47620</v>
  </rv>
  <rv s="2">
    <v>48</v>
  </rv>
  <rv s="0">
    <v>https://www.bing.com/financeapi/forcetrigger?t=a2686h&amp;q=ARCX%3aXLP&amp;form=skydnc</v>
    <v>Learn more on Bing</v>
  </rv>
  <rv s="1">
    <v>en-US</v>
    <v>a2686h</v>
    <v>268435456</v>
    <v>1</v>
    <v>Powered by Refinitiv</v>
    <v>0</v>
    <v>Sel Sector:C SSS SPDR (ARCX:XLP)</v>
    <v>2</v>
    <v>3</v>
    <v>Finance</v>
    <v>5</v>
    <v>90.14</v>
    <v>75.16</v>
    <v>0.96960000000000002</v>
    <v>1.04</v>
    <v>-1.0660000000000001E-3</v>
    <v>1.2473000000000001E-2</v>
    <v>-0.09</v>
    <v>USD</v>
    <v>NYSE Arca</v>
    <v>ARCX</v>
    <v>8.0000000000000004E-4</v>
    <v>84.885199999999998</v>
    <v>ETF</v>
    <v>46279.979197522654</v>
    <v>50</v>
    <v>84.25</v>
    <v>14524715776.709999</v>
    <v>Sel Sector:C SSS SPDR</v>
    <v>84.38</v>
    <v>83.38</v>
    <v>84.42</v>
    <v>84.33</v>
    <v>XLP</v>
    <v>Sel Sector:C SSS SPDR (ARCX:XLP)</v>
    <v>10519954</v>
    <v>9182540</v>
  </rv>
  <rv s="2">
    <v>51</v>
  </rv>
  <rv s="0">
    <v>https://www.bing.com/financeapi/forcetrigger?t=a267r7&amp;q=ARCX%3aXLF&amp;form=skydnc</v>
    <v>Learn more on Bing</v>
  </rv>
  <rv s="1">
    <v>en-US</v>
    <v>a267r7</v>
    <v>268435456</v>
    <v>1</v>
    <v>Powered by Refinitiv</v>
    <v>0</v>
    <v>Sel Sector:Fin SS SPDR (ARCX:XLF)</v>
    <v>2</v>
    <v>3</v>
    <v>Finance</v>
    <v>4</v>
    <v>58.6</v>
    <v>47.67</v>
    <v>0.99860000000000004</v>
    <v>-0.21</v>
    <v>1.8110000000000001E-3</v>
    <v>-3.6680000000000003E-3</v>
    <v>0.1033</v>
    <v>USD</v>
    <v>NYSE Arca</v>
    <v>ARCX</v>
    <v>8.0000000000000004E-4</v>
    <v>57.57</v>
    <v>ETF</v>
    <v>46279.996366863284</v>
    <v>53</v>
    <v>56.76</v>
    <v>54592369469.900002</v>
    <v>Sel Sector:Fin SS SPDR</v>
    <v>57.34</v>
    <v>57.25</v>
    <v>57.04</v>
    <v>57.133299999999998</v>
    <v>XLF</v>
    <v>Sel Sector:Fin SS SPDR (ARCX:XLF)</v>
    <v>38161409</v>
    <v>28057056</v>
  </rv>
  <rv s="2">
    <v>54</v>
  </rv>
  <rv s="0">
    <v>https://www.bing.com/financeapi/forcetrigger?t=a268f2&amp;q=ARCX%3aXLU&amp;form=skydnc</v>
    <v>Learn more on Bing</v>
  </rv>
  <rv s="1">
    <v>en-US</v>
    <v>a268f2</v>
    <v>268435456</v>
    <v>1</v>
    <v>Powered by Refinitiv</v>
    <v>0</v>
    <v>Sel Sector:Utl SS SPDR (ARCX:XLU)</v>
    <v>2</v>
    <v>3</v>
    <v>Finance</v>
    <v>4</v>
    <v>47.8</v>
    <v>41.74</v>
    <v>0.998</v>
    <v>-0.57999999999999996</v>
    <v>4.5909999999999999E-4</v>
    <v>-1.3682000000000001E-2</v>
    <v>1.9199999999999998E-2</v>
    <v>USD</v>
    <v>NYSE Arca</v>
    <v>ARCX</v>
    <v>8.0000000000000004E-4</v>
    <v>42.44</v>
    <v>ETF</v>
    <v>46279.994280092185</v>
    <v>56</v>
    <v>41.75</v>
    <v>21836874730.349998</v>
    <v>Sel Sector:Utl SS SPDR</v>
    <v>42.38</v>
    <v>42.39</v>
    <v>41.81</v>
    <v>41.839199999999998</v>
    <v>XLU</v>
    <v>Sel Sector:Utl SS SPDR (ARCX:XLU)</v>
    <v>23589853</v>
    <v>19757223</v>
  </rv>
  <rv s="2">
    <v>57</v>
  </rv>
  <rv s="0">
    <v>https://www.bing.com/financeapi/forcetrigger?t=b1hbp2&amp;q=ARCX%3aXLC&amp;form=skydnc</v>
    <v>Learn more on Bing</v>
  </rv>
  <rv s="1">
    <v>en-US</v>
    <v>b1hbp2</v>
    <v>268435456</v>
    <v>1</v>
    <v>Powered by Refinitiv</v>
    <v>0</v>
    <v>STE STRT COMTN SR SLCT SCTR SPDR ETF (ARCX:XLC)</v>
    <v>2</v>
    <v>3</v>
    <v>Finance</v>
    <v>4</v>
    <v>120.405</v>
    <v>105.03</v>
    <v>0.86050000000000004</v>
    <v>2.44</v>
    <v>-5.3890000000000006E-3</v>
    <v>2.1669999999999998E-2</v>
    <v>-0.62009999999999998</v>
    <v>USD</v>
    <v>NYSE Arca</v>
    <v>ARCX</v>
    <v>8.0000000000000004E-4</v>
    <v>115.26</v>
    <v>ETF</v>
    <v>46279.989230693747</v>
    <v>59</v>
    <v>113.58</v>
    <v>22430177229.459999</v>
    <v>STE STRT COMTN SR SLCT SCTR SPDR ETF</v>
    <v>113.63</v>
    <v>112.6</v>
    <v>115.04</v>
    <v>114.4499</v>
    <v>XLC</v>
    <v>STE STRT COMTN SR SLCT SCTR SPDR ETF (ARCX:XLC)</v>
    <v>4352380</v>
    <v>4093893</v>
  </rv>
  <rv s="2">
    <v>60</v>
  </rv>
  <rv s="0">
    <v>https://www.bing.com/financeapi/forcetrigger?t=a2689c&amp;q=ARCX%3aXLRE&amp;form=skydnc</v>
    <v>Learn more on Bing</v>
  </rv>
  <rv s="1">
    <v>en-US</v>
    <v>a2689c</v>
    <v>268435456</v>
    <v>1</v>
    <v>Powered by Refinitiv</v>
    <v>0</v>
    <v>STATE SRT REL EST SLCT SCTR SPDR ETF (ARCX:XLRE)</v>
    <v>2</v>
    <v>3</v>
    <v>Finance</v>
    <v>5</v>
    <v>46.454999999999998</v>
    <v>39.725000000000001</v>
    <v>0.9919</v>
    <v>-0.3</v>
    <v>1.6230000000000001E-3</v>
    <v>-6.9089999999999993E-3</v>
    <v>7.0000000000000007E-2</v>
    <v>USD</v>
    <v>NYSE Arca</v>
    <v>ARCX</v>
    <v>8.0000000000000004E-4</v>
    <v>43.59</v>
    <v>ETF</v>
    <v>46279.979181365627</v>
    <v>62</v>
    <v>42.965000000000003</v>
    <v>8312176290.8400002</v>
    <v>STATE SRT REL EST SLCT SCTR SPDR ETF</v>
    <v>43.39</v>
    <v>43.42</v>
    <v>43.12</v>
    <v>43.19</v>
    <v>XLRE</v>
    <v>STATE SRT REL EST SLCT SCTR SPDR ETF (ARCX:XLRE)</v>
    <v>6178544</v>
    <v>5064780</v>
  </rv>
  <rv s="2">
    <v>63</v>
  </rv>
  <rv s="0">
    <v>https://www.bing.com/financeapi/forcetrigger?t=a268kr&amp;q=ARCX%3aXLY&amp;form=skydnc</v>
    <v>Learn more on Bing</v>
  </rv>
  <rv s="1">
    <v>en-US</v>
    <v>a268kr</v>
    <v>268435456</v>
    <v>1</v>
    <v>Powered by Refinitiv</v>
    <v>0</v>
    <v>Sel Sctr:C D SS SPDR (ARCX:XLY)</v>
    <v>2</v>
    <v>3</v>
    <v>Finance</v>
    <v>5</v>
    <v>125.01</v>
    <v>105.19</v>
    <v>0.9032</v>
    <v>-0.11</v>
    <v>8.8609999999999991E-4</v>
    <v>-9.7379999999999993E-4</v>
    <v>0.1</v>
    <v>USD</v>
    <v>NYSE Arca</v>
    <v>ARCX</v>
    <v>8.0000000000000004E-4</v>
    <v>113.28</v>
    <v>ETF</v>
    <v>46279.979195207816</v>
    <v>65</v>
    <v>112.11</v>
    <v>22749815213.93</v>
    <v>Sel Sctr:C D SS SPDR</v>
    <v>112.31</v>
    <v>112.96</v>
    <v>112.85</v>
    <v>112.95</v>
    <v>XLY</v>
    <v>Sel Sctr:C D SS SPDR (ARCX:XLY)</v>
    <v>5276259</v>
    <v>5243725</v>
  </rv>
  <rv s="2">
    <v>66</v>
  </rv>
  <rv s="0">
    <v>https://www.bing.com/financeapi/forcetrigger?t=a267lh&amp;q=ARCX%3aXLB&amp;form=skydnc</v>
    <v>Learn more on Bing</v>
  </rv>
  <rv s="1">
    <v>en-US</v>
    <v>a267lh</v>
    <v>268435456</v>
    <v>1</v>
    <v>Powered by Refinitiv</v>
    <v>0</v>
    <v>Sel Sector:Mat SS SPDR (ARCX:XLB)</v>
    <v>2</v>
    <v>3</v>
    <v>Finance</v>
    <v>5</v>
    <v>54.19</v>
    <v>42.034999999999997</v>
    <v>0.97299999999999998</v>
    <v>-0.46</v>
    <v>5.9420000000000002E-4</v>
    <v>-9.0280000000000013E-3</v>
    <v>0.03</v>
    <v>USD</v>
    <v>NYSE Arca</v>
    <v>ARCX</v>
    <v>8.0000000000000004E-4</v>
    <v>50.81</v>
    <v>ETF</v>
    <v>46279.979195693748</v>
    <v>68</v>
    <v>50.34</v>
    <v>8752942860.4300003</v>
    <v>Sel Sector:Mat SS SPDR</v>
    <v>50.68</v>
    <v>50.95</v>
    <v>50.49</v>
    <v>50.52</v>
    <v>XLB</v>
    <v>Sel Sector:Mat SS SPDR (ARCX:XLB)</v>
    <v>11410430</v>
    <v>10924285</v>
  </rv>
  <rv s="2">
    <v>69</v>
  </rv>
  <rv s="0">
    <v>https://www.bing.com/financeapi/forcetrigger?t=a268hw&amp;q=ARCX%3aXLV&amp;form=skydnc</v>
    <v>Learn more on Bing</v>
  </rv>
  <rv s="1">
    <v>en-US</v>
    <v>a268hw</v>
    <v>268435456</v>
    <v>1</v>
    <v>Powered by Refinitiv</v>
    <v>0</v>
    <v>Sel Sector:HC SS SPDR (ARCX:XLV)</v>
    <v>2</v>
    <v>3</v>
    <v>Finance</v>
    <v>4</v>
    <v>176.595</v>
    <v>133.72499999999999</v>
    <v>1.0028999999999999</v>
    <v>2.37</v>
    <v>-2.5040000000000001E-3</v>
    <v>1.4332000000000001E-2</v>
    <v>-0.42</v>
    <v>USD</v>
    <v>NYSE Arca</v>
    <v>ARCX</v>
    <v>8.0000000000000004E-4</v>
    <v>168.77</v>
    <v>ETF</v>
    <v>46279.995694015626</v>
    <v>71</v>
    <v>167.02500000000001</v>
    <v>43909783508.080002</v>
    <v>Sel Sector:HC SS SPDR</v>
    <v>168.01</v>
    <v>165.36</v>
    <v>167.73</v>
    <v>167.33</v>
    <v>XLV</v>
    <v>Sel Sector:HC SS SPDR (ARCX:XLV)</v>
    <v>9416004</v>
    <v>7567556</v>
  </rv>
  <rv s="2">
    <v>72</v>
  </rv>
  <rv s="0">
    <v>https://www.bing.com/financeapi/forcetrigger?t=a267ww&amp;q=ARCX%3aXLI&amp;form=skydnc</v>
    <v>Learn more on Bing</v>
  </rv>
  <rv s="1">
    <v>en-US</v>
    <v>a267ww</v>
    <v>268435456</v>
    <v>1</v>
    <v>Powered by Refinitiv</v>
    <v>0</v>
    <v>Sel Sector:Ind SS SPDR (ARCX:XLI)</v>
    <v>2</v>
    <v>3</v>
    <v>Finance</v>
    <v>4</v>
    <v>188.19</v>
    <v>147.13499999999999</v>
    <v>1</v>
    <v>-2.4300000000000002</v>
    <v>1.8829999999999999E-3</v>
    <v>-1.4097999999999999E-2</v>
    <v>0.32</v>
    <v>USD</v>
    <v>NYSE Arca</v>
    <v>ARCX</v>
    <v>8.0000000000000004E-4</v>
    <v>170.13499999999999</v>
    <v>ETF</v>
    <v>46279.994176921093</v>
    <v>74</v>
    <v>168.34</v>
    <v>31947402939.32</v>
    <v>Sel Sector:Ind SS SPDR</v>
    <v>168.67</v>
    <v>172.37</v>
    <v>169.94</v>
    <v>170.25</v>
    <v>XLI</v>
    <v>Sel Sector:Ind SS SPDR (ARCX:XLI)</v>
    <v>7359936</v>
    <v>6343847</v>
  </rv>
  <rv s="2">
    <v>75</v>
  </rv>
  <rv s="0">
    <v>https://www.bing.com/financeapi/forcetrigger?t=a267oc&amp;q=ARCX%3aXLE&amp;form=skydnc</v>
    <v>Learn more on Bing</v>
  </rv>
  <rv s="1">
    <v>en-US</v>
    <v>a267oc</v>
    <v>268435456</v>
    <v>1</v>
    <v>Powered by Refinitiv</v>
    <v>0</v>
    <v>Sel Sector:Enrgy SS SPDR (ARCX:XLE)</v>
    <v>2</v>
    <v>3</v>
    <v>Finance</v>
    <v>4</v>
    <v>66.17</v>
    <v>42.35</v>
    <v>1.0885</v>
    <v>-0.6</v>
    <v>7.7479999999999997E-4</v>
    <v>-9.2110000000000004E-3</v>
    <v>0.05</v>
    <v>USD</v>
    <v>NYSE Arca</v>
    <v>ARCX</v>
    <v>8.0000000000000004E-4</v>
    <v>66.05</v>
    <v>ETF</v>
    <v>46279.996156897658</v>
    <v>77</v>
    <v>64.180000000000007</v>
    <v>41438107098.220001</v>
    <v>Sel Sector:Enrgy SS SPDR</v>
    <v>65.954999999999998</v>
    <v>65.14</v>
    <v>64.540000000000006</v>
    <v>64.58</v>
    <v>XLE</v>
    <v>Sel Sector:Enrgy SS SPDR (ARCX:XLE)</v>
    <v>47236472</v>
    <v>26248270</v>
  </rv>
  <rv s="2">
    <v>78</v>
  </rv>
  <rv s="0">
    <v>https://www.bing.com/financeapi/forcetrigger?t=a267zr&amp;q=ARCX%3aXLK&amp;form=skydnc</v>
    <v>Learn more on Bing</v>
  </rv>
  <rv s="1">
    <v>en-US</v>
    <v>a267zr</v>
    <v>268435456</v>
    <v>1</v>
    <v>Powered by Refinitiv</v>
    <v>0</v>
    <v>Sel Sector:Tech SPDR (ARCX:XLK)</v>
    <v>2</v>
    <v>3</v>
    <v>Finance</v>
    <v>4</v>
    <v>198.73</v>
    <v>126.68</v>
    <v>1.0374000000000001</v>
    <v>-3.42</v>
    <v>2.062E-3</v>
    <v>-1.8223E-2</v>
    <v>0.38</v>
    <v>USD</v>
    <v>NYSE Arca</v>
    <v>ARCX</v>
    <v>8.0000000000000004E-4</v>
    <v>185.6</v>
    <v>ETF</v>
    <v>46279.996391145316</v>
    <v>80</v>
    <v>182.08</v>
    <v>121437736470.21001</v>
    <v>Sel Sector:Tech SPDR</v>
    <v>183</v>
    <v>187.67</v>
    <v>184.25</v>
    <v>184.66</v>
    <v>XLK</v>
    <v>Sel Sector:Tech SPDR (ARCX:XLK)</v>
    <v>8537653</v>
    <v>6105064</v>
  </rv>
  <rv s="2">
    <v>81</v>
  </rv>
  <rv s="3">
    <v>en-US</v>
    <v>ck5yww</v>
    <v>268435456</v>
    <v>1</v>
    <v>Powered by Refinitiv</v>
    <v>6</v>
    <v>ROUNDHILL MEMORY ETF (BATS:DRAM)</v>
    <v>7</v>
    <v>8</v>
    <v>Finance</v>
    <v>4</v>
    <v>81.34</v>
    <v>26.14</v>
    <v>-4.25</v>
    <v>1.7079999999999998E-2</v>
    <v>-7.1912000000000004E-2</v>
    <v>0.93600000000000005</v>
    <v>USD</v>
    <v>CBOE BZX Exchange</v>
    <v>BATS</v>
    <v>6.5000000000000006E-3</v>
    <v>55.72</v>
    <v>ETF</v>
    <v>46279.995913171093</v>
    <v>54.284999999999997</v>
    <v>26017624318.700001</v>
    <v>ROUNDHILL MEMORY ETF</v>
    <v>54.63</v>
    <v>59.1</v>
    <v>54.85</v>
    <v>55.735999999999997</v>
    <v>DRAM</v>
    <v>ROUNDHILL MEMORY ETF (BATS:DRAM)</v>
    <v>42678603</v>
    <v>37540106</v>
  </rv>
  <rv s="2">
    <v>83</v>
  </rv>
  <rv s="5">
    <v>en-US</v>
    <v>c9t2c7</v>
    <v>268435456</v>
    <v>1</v>
    <v>Powered by Refinitiv</v>
    <v>12</v>
    <v>ROUNDHILL GENERATIVE AI TECNG ETF (ARCX:CHAT)</v>
    <v>7</v>
    <v>3</v>
    <v>Finance</v>
    <v>5</v>
    <v>105.2</v>
    <v>55.52</v>
    <v>1.6693</v>
    <v>-3.99</v>
    <v>-1.2920000000000002E-3</v>
    <v>-4.4766E-2</v>
    <v>-0.11</v>
    <v>USD</v>
    <v>NYSE Arca</v>
    <v>ARCX</v>
    <v>7.4999999999999997E-3</v>
    <v>85.979900000000001</v>
    <v>ETF</v>
    <v>46279.979176654684</v>
    <v>84.36</v>
    <v>1829867711.5699999</v>
    <v>ROUNDHILL GENERATIVE AI TECNG ETF</v>
    <v>84.85</v>
    <v>89.13</v>
    <v>85.14</v>
    <v>85.03</v>
    <v>CHAT</v>
    <v>ROUNDHILL GENERATIVE AI TECNG ETF (ARCX:CHAT)</v>
    <v>475628</v>
    <v>276606</v>
  </rv>
  <rv s="2">
    <v>85</v>
  </rv>
  <rv s="0">
    <v>https://www.bing.com/financeapi/forcetrigger?t=a23bxm&amp;q=XNAS%3aSOXX&amp;form=skydnc</v>
    <v>Learn more on Bing</v>
  </rv>
  <rv s="1">
    <v>en-US</v>
    <v>a23bxm</v>
    <v>268435456</v>
    <v>1</v>
    <v>Powered by Refinitiv</v>
    <v>0</v>
    <v>iShares:Semiconductor (XNAS:SOXX)</v>
    <v>2</v>
    <v>3</v>
    <v>Finance</v>
    <v>4</v>
    <v>655.95</v>
    <v>254.53</v>
    <v>1.8007</v>
    <v>-29.67</v>
    <v>4.2220000000000001E-3</v>
    <v>-5.6292000000000002E-2</v>
    <v>2.1</v>
    <v>USD</v>
    <v>Nasdaq Stock Market</v>
    <v>XNAS</v>
    <v>3.3E-3</v>
    <v>503.18</v>
    <v>ETF</v>
    <v>46279.996574455472</v>
    <v>87</v>
    <v>495.15</v>
    <v>41810909103.889999</v>
    <v>iShares:Semiconductor</v>
    <v>497.17</v>
    <v>527.07000000000005</v>
    <v>497.4</v>
    <v>499.5</v>
    <v>SOXX</v>
    <v>iShares:Semiconductor (XNAS:SOXX)</v>
    <v>11264716</v>
    <v>7013924</v>
  </rv>
  <rv s="2">
    <v>88</v>
  </rv>
  <rv s="0">
    <v>https://www.bing.com/financeapi/forcetrigger?t=bwn43m&amp;q=XNAS%3aVPN&amp;form=skydnc</v>
    <v>Learn more on Bing</v>
  </rv>
  <rv s="1">
    <v>en-US</v>
    <v>bwn43m</v>
    <v>268435456</v>
    <v>1</v>
    <v>Powered by Refinitiv</v>
    <v>0</v>
    <v>GLOBAL X DATA CNTR DGTL INFR ETF (XNAS:DTCR)</v>
    <v>2</v>
    <v>3</v>
    <v>Finance</v>
    <v>5</v>
    <v>32.789900000000003</v>
    <v>19.25</v>
    <v>1.0422</v>
    <v>-1.04</v>
    <v>8.4499999999999992E-3</v>
    <v>-3.6801E-2</v>
    <v>0.23</v>
    <v>USD</v>
    <v>Nasdaq Stock Market</v>
    <v>XNAS</v>
    <v>5.0000000000000001E-3</v>
    <v>27.62</v>
    <v>ETF</v>
    <v>46279.984222048435</v>
    <v>90</v>
    <v>27.17</v>
    <v>2143491751.3800001</v>
    <v>GLOBAL X DATA CNTR DGTL INFR ETF</v>
    <v>27.62</v>
    <v>28.26</v>
    <v>27.22</v>
    <v>27.45</v>
    <v>DTCR</v>
    <v>GLOBAL X DATA CNTR DGTL INFR ETF (XNAS:DTCR)</v>
    <v>982076</v>
    <v>638832</v>
  </rv>
  <rv s="2">
    <v>91</v>
  </rv>
  <rv s="0">
    <v>https://www.bing.com/financeapi/forcetrigger?t=a21vc7&amp;q=ARCX%3aREMX&amp;form=skydnc</v>
    <v>Learn more on Bing</v>
  </rv>
  <rv s="1">
    <v>en-US</v>
    <v>a21vc7</v>
    <v>268435456</v>
    <v>1</v>
    <v>Powered by Refinitiv</v>
    <v>0</v>
    <v>VanEck:RE &amp; Str Metals (ARCX:REMX)</v>
    <v>2</v>
    <v>3</v>
    <v>Finance</v>
    <v>4</v>
    <v>111.55</v>
    <v>59.81</v>
    <v>1.1075999999999999</v>
    <v>-1.65</v>
    <v>8.2690000000000003E-3</v>
    <v>-2.3384000000000002E-2</v>
    <v>0.56999999999999995</v>
    <v>USD</v>
    <v>NYSE Arca</v>
    <v>ARCX</v>
    <v>5.3E-3</v>
    <v>69.709999999999994</v>
    <v>ETF</v>
    <v>46279.988163089845</v>
    <v>93</v>
    <v>68.58</v>
    <v>2290166364.0900002</v>
    <v>VanEck:RE &amp; Str Metals</v>
    <v>69.27</v>
    <v>70.56</v>
    <v>68.91</v>
    <v>69.5</v>
    <v>REMX</v>
    <v>VanEck:RE &amp; Str Metals (ARCX:REMX)</v>
    <v>752074</v>
    <v>599839</v>
  </rv>
  <rv s="2">
    <v>94</v>
  </rv>
  <rv s="3">
    <v>en-US</v>
    <v>d9c177</v>
    <v>268435456</v>
    <v>1</v>
    <v>Powered by Refinitiv</v>
    <v>6</v>
    <v>TEMA PHOTONICS AND OPTICAL ETF (ARCX:LAZR)</v>
    <v>7</v>
    <v>8</v>
    <v>Finance</v>
    <v>5</v>
    <v>50.82</v>
    <v>32.549999999999997</v>
    <v>-3.21</v>
    <v>4.9471000000000001E-2</v>
    <v>-7.3220999999999994E-2</v>
    <v>2.0099999999999998</v>
    <v>USD</v>
    <v>NYSE Arca</v>
    <v>ARCX</v>
    <v>7.4999999999999997E-3</v>
    <v>41.82</v>
    <v>ETF</v>
    <v>46279.984142846872</v>
    <v>40.57</v>
    <v>84585508.150000006</v>
    <v>TEMA PHOTONICS AND OPTICAL ETF</v>
    <v>41.23</v>
    <v>43.84</v>
    <v>40.630000000000003</v>
    <v>42.64</v>
    <v>LAZR</v>
    <v>TEMA PHOTONICS AND OPTICAL ETF (ARCX:LAZR)</v>
    <v>140399</v>
    <v>216297</v>
  </rv>
  <rv s="2">
    <v>96</v>
  </rv>
  <rv s="3">
    <v>en-US</v>
    <v>d9bz7w</v>
    <v>268435456</v>
    <v>1</v>
    <v>Powered by Refinitiv</v>
    <v>6</v>
    <v>TEMA MEMORY ETF (ARCX:DISK)</v>
    <v>7</v>
    <v>8</v>
    <v>Finance</v>
    <v>4</v>
    <v>50.46</v>
    <v>28.35</v>
    <v>-3.01</v>
    <v>3.6124000000000003E-2</v>
    <v>-7.7959000000000001E-2</v>
    <v>1.29</v>
    <v>USD</v>
    <v>NYSE Arca</v>
    <v>ARCX</v>
    <v>7.4999999999999997E-3</v>
    <v>36.229999999999997</v>
    <v>ETF</v>
    <v>46279.994602453124</v>
    <v>35.21</v>
    <v>95656354.840000004</v>
    <v>TEMA MEMORY ETF</v>
    <v>35.42</v>
    <v>38.61</v>
    <v>35.6</v>
    <v>37</v>
    <v>DISK</v>
    <v>TEMA MEMORY ETF (ARCX:DISK)</v>
    <v>285034</v>
    <v>223052</v>
  </rv>
  <rv s="2">
    <v>98</v>
  </rv>
  <rv s="0">
    <v>https://www.bing.com/financeapi/forcetrigger?t=a1wicw&amp;q=ARCX%3aKIE&amp;form=skydnc</v>
    <v>Learn more on Bing</v>
  </rv>
  <rv s="1">
    <v>en-US</v>
    <v>a1wicw</v>
    <v>268435456</v>
    <v>1</v>
    <v>Powered by Refinitiv</v>
    <v>0</v>
    <v>SS SPDR S&amp;P Insurance (ARCX:KIE)</v>
    <v>2</v>
    <v>3</v>
    <v>Finance</v>
    <v>5</v>
    <v>66.53</v>
    <v>53.445</v>
    <v>0.97430000000000005</v>
    <v>1.06</v>
    <v>0</v>
    <v>1.7000999999999999E-2</v>
    <v>0</v>
    <v>USD</v>
    <v>NYSE Arca</v>
    <v>ARCX</v>
    <v>3.4999999999999996E-3</v>
    <v>63.534999999999997</v>
    <v>ETF</v>
    <v>46279.979197291403</v>
    <v>100</v>
    <v>62.87</v>
    <v>600121754.58000004</v>
    <v>SS SPDR S&amp;P Insurance</v>
    <v>63.05</v>
    <v>62.35</v>
    <v>63.41</v>
    <v>63.41</v>
    <v>KIE</v>
    <v>SS SPDR S&amp;P Insurance (ARCX:KIE)</v>
    <v>1067420</v>
    <v>1044400</v>
  </rv>
  <rv s="2">
    <v>101</v>
  </rv>
  <rv s="0">
    <v>https://www.bing.com/financeapi/forcetrigger?t=a26ap2&amp;q=ARCX%3aXRT&amp;form=skydnc</v>
    <v>Learn more on Bing</v>
  </rv>
  <rv s="1">
    <v>en-US</v>
    <v>a26ap2</v>
    <v>268435456</v>
    <v>1</v>
    <v>Powered by Refinitiv</v>
    <v>0</v>
    <v>SS SPDR S&amp;P Retail (ARCX:XRT)</v>
    <v>2</v>
    <v>3</v>
    <v>Finance</v>
    <v>5</v>
    <v>93.52</v>
    <v>77.239999999999995</v>
    <v>1.1149</v>
    <v>0.73</v>
    <v>2.3390000000000002E-4</v>
    <v>8.6099999999999996E-3</v>
    <v>0.02</v>
    <v>USD</v>
    <v>NYSE Arca</v>
    <v>ARCX</v>
    <v>3.4999999999999996E-3</v>
    <v>86.105000000000004</v>
    <v>ETF</v>
    <v>46279.9791959375</v>
    <v>103</v>
    <v>84.47</v>
    <v>362040698.00999999</v>
    <v>SS SPDR S&amp;P Retail</v>
    <v>84.68</v>
    <v>84.79</v>
    <v>85.52</v>
    <v>85.54</v>
    <v>XRT</v>
    <v>SS SPDR S&amp;P Retail (ARCX:XRT)</v>
    <v>3704499</v>
    <v>3714651</v>
  </rv>
  <rv s="2">
    <v>104</v>
  </rv>
  <rv s="0">
    <v>https://www.bing.com/financeapi/forcetrigger?t=a1zorw&amp;q=ARCX%3aPEJ&amp;form=skydnc</v>
    <v>Learn more on Bing</v>
  </rv>
  <rv s="1">
    <v>en-US</v>
    <v>a1zorw</v>
    <v>268435456</v>
    <v>1</v>
    <v>Powered by Refinitiv</v>
    <v>0</v>
    <v>Invesco Leisure and Ent (ARCX:PEJ)</v>
    <v>2</v>
    <v>3</v>
    <v>Finance</v>
    <v>5</v>
    <v>69.424999999999997</v>
    <v>55.66</v>
    <v>0.91049999999999998</v>
    <v>0.56999999999999995</v>
    <v>0</v>
    <v>9.0349999999999996E-3</v>
    <v>0</v>
    <v>USD</v>
    <v>NYSE Arca</v>
    <v>ARCX</v>
    <v>5.7999999999999996E-3</v>
    <v>63.75</v>
    <v>ETF</v>
    <v>46279.979236376559</v>
    <v>106</v>
    <v>62.93</v>
    <v>422541616.61000001</v>
    <v>Invesco Leisure and Ent</v>
    <v>62.93</v>
    <v>63.09</v>
    <v>63.66</v>
    <v>63.66</v>
    <v>PEJ</v>
    <v>Invesco Leisure and Ent (ARCX:PEJ)</v>
    <v>28590</v>
    <v>65951</v>
  </rv>
  <rv s="2">
    <v>107</v>
  </rv>
  <rv s="0">
    <v>https://www.bing.com/financeapi/forcetrigger?t=bur2f2&amp;q=ARCX%3aBETZ&amp;form=skydnc</v>
    <v>Learn more on Bing</v>
  </rv>
  <rv s="1">
    <v>en-US</v>
    <v>bur2f2</v>
    <v>268435456</v>
    <v>1</v>
    <v>Powered by Refinitiv</v>
    <v>0</v>
    <v>ROUNDHILL SPRT BETNG AND IGAMING ETF (ARCX:BETZ)</v>
    <v>2</v>
    <v>3</v>
    <v>Finance</v>
    <v>5</v>
    <v>24.95</v>
    <v>17.05</v>
    <v>1.1720999999999999</v>
    <v>2.2000000000000001E-3</v>
    <v>0</v>
    <v>1.136E-4</v>
    <v>0</v>
    <v>USD</v>
    <v>NYSE Arca</v>
    <v>ARCX</v>
    <v>7.4999999999999997E-3</v>
    <v>19.47</v>
    <v>ETF</v>
    <v>46279.979197013279</v>
    <v>109</v>
    <v>19.28</v>
    <v>50436695</v>
    <v>ROUNDHILL SPRT BETNG AND IGAMING ETF</v>
    <v>19.335000000000001</v>
    <v>19.359000000000002</v>
    <v>19.3612</v>
    <v>19.3612</v>
    <v>BETZ</v>
    <v>ROUNDHILL SPRT BETNG AND IGAMING ETF (ARCX:BETZ)</v>
    <v>3149</v>
    <v>5939</v>
  </rv>
  <rv s="2">
    <v>110</v>
  </rv>
  <rv s="0">
    <v>https://www.bing.com/financeapi/forcetrigger?t=a1ziqh&amp;q=ARCX%3aPBJ&amp;form=skydnc</v>
    <v>Learn more on Bing</v>
  </rv>
  <rv s="1">
    <v>en-US</v>
    <v>a1ziqh</v>
    <v>268435456</v>
    <v>1</v>
    <v>Powered by Refinitiv</v>
    <v>0</v>
    <v>Invesco Food &amp; Beverage (ARCX:PBJ)</v>
    <v>2</v>
    <v>3</v>
    <v>Finance</v>
    <v>5</v>
    <v>51.07</v>
    <v>42.685000000000002</v>
    <v>0.85360000000000003</v>
    <v>0.33</v>
    <v>0</v>
    <v>7.0169999999999998E-3</v>
    <v>0</v>
    <v>USD</v>
    <v>NYSE Arca</v>
    <v>ARCX</v>
    <v>6.3E-3</v>
    <v>47.62</v>
    <v>ETF</v>
    <v>46279.9791959375</v>
    <v>112</v>
    <v>47.36</v>
    <v>92502910.629999995</v>
    <v>Invesco Food &amp; Beverage</v>
    <v>47.62</v>
    <v>47.03</v>
    <v>47.36</v>
    <v>47.36</v>
    <v>PBJ</v>
    <v>Invesco Food &amp; Beverage (ARCX:PBJ)</v>
    <v>9500</v>
    <v>37747</v>
  </rv>
  <rv s="2">
    <v>113</v>
  </rv>
  <rv s="0">
    <v>https://www.bing.com/financeapi/forcetrigger?t=a1tqp2&amp;q=ARCX%3aGDX&amp;form=skydnc</v>
    <v>Learn more on Bing</v>
  </rv>
  <rv s="1">
    <v>en-US</v>
    <v>a1tqp2</v>
    <v>268435456</v>
    <v>1</v>
    <v>Powered by Refinitiv</v>
    <v>0</v>
    <v>VanEck:Gold Miners (ARCX:GDX)</v>
    <v>2</v>
    <v>3</v>
    <v>Finance</v>
    <v>4</v>
    <v>117.175</v>
    <v>67.254999999999995</v>
    <v>0.96630000000000005</v>
    <v>-2.95</v>
    <v>9.4539999999999999E-5</v>
    <v>-3.0381000000000002E-2</v>
    <v>8.8999999999999999E-3</v>
    <v>USD</v>
    <v>NYSE Arca</v>
    <v>ARCX</v>
    <v>5.1000000000000004E-3</v>
    <v>95.08</v>
    <v>ETF</v>
    <v>46279.993207071093</v>
    <v>115</v>
    <v>92.85</v>
    <v>30543091933.139999</v>
    <v>VanEck:Gold Miners</v>
    <v>93.93</v>
    <v>97.1</v>
    <v>94.15</v>
    <v>94.148899999999998</v>
    <v>GDX</v>
    <v>VanEck:Gold Miners (ARCX:GDX)</v>
    <v>24406508</v>
    <v>24832843</v>
  </rv>
  <rv s="2">
    <v>116</v>
  </rv>
  <rv s="0">
    <v>https://www.bing.com/financeapi/forcetrigger?t=a1vf2w&amp;q=ARCX%3aIHF&amp;form=skydnc</v>
    <v>Learn more on Bing</v>
  </rv>
  <rv s="1">
    <v>en-US</v>
    <v>a1vf2w</v>
    <v>268435456</v>
    <v>1</v>
    <v>Powered by Refinitiv</v>
    <v>0</v>
    <v>iShares:US HC Prvd ETF (ARCX:IHF)</v>
    <v>2</v>
    <v>3</v>
    <v>Finance</v>
    <v>5</v>
    <v>58.3</v>
    <v>40.85</v>
    <v>1.0610999999999999</v>
    <v>0.99</v>
    <v>-2.0830000000000002E-3</v>
    <v>1.7482000000000001E-2</v>
    <v>-0.12</v>
    <v>USD</v>
    <v>NYSE Arca</v>
    <v>ARCX</v>
    <v>3.7000000000000002E-3</v>
    <v>57.741</v>
    <v>ETF</v>
    <v>46279.98126907344</v>
    <v>118</v>
    <v>57</v>
    <v>1227321549.1400001</v>
    <v>iShares:US HC Prvd ETF</v>
    <v>57</v>
    <v>56.63</v>
    <v>57.62</v>
    <v>57.5</v>
    <v>IHF</v>
    <v>iShares:US HC Prvd ETF (ARCX:IHF)</v>
    <v>594965</v>
    <v>537283</v>
  </rv>
  <rv s="2">
    <v>119</v>
  </rv>
  <rv s="0">
    <v>https://www.bing.com/financeapi/forcetrigger?t=a1w3nm&amp;q=ARCX%3aJETS&amp;form=skydnc</v>
    <v>Learn more on Bing</v>
  </rv>
  <rv s="1">
    <v>en-US</v>
    <v>a1w3nm</v>
    <v>268435456</v>
    <v>1</v>
    <v>Powered by Refinitiv</v>
    <v>0</v>
    <v>US GLOBAL JETS ETF (ARCX:JETS)</v>
    <v>2</v>
    <v>3</v>
    <v>Finance</v>
    <v>5</v>
    <v>34.06</v>
    <v>23.53</v>
    <v>1.2532000000000001</v>
    <v>0.01</v>
    <v>0</v>
    <v>3.5499999999999996E-4</v>
    <v>0</v>
    <v>USD</v>
    <v>NYSE Arca</v>
    <v>ARCX</v>
    <v>6.0000000000000001E-3</v>
    <v>28.38</v>
    <v>ETF</v>
    <v>46279.97917679375</v>
    <v>121</v>
    <v>27.64</v>
    <v>765059523.96000004</v>
    <v>US GLOBAL JETS ETF</v>
    <v>27.73</v>
    <v>28.17</v>
    <v>28.18</v>
    <v>28.18</v>
    <v>JETS</v>
    <v>US GLOBAL JETS ETF (ARCX:JETS)</v>
    <v>4758741</v>
    <v>2685596</v>
  </rv>
  <rv s="2">
    <v>122</v>
  </rv>
  <rv s="0">
    <v>https://www.bing.com/financeapi/forcetrigger?t=a1v3yc&amp;q=ARCX%3aIAI&amp;form=skydnc</v>
    <v>Learn more on Bing</v>
  </rv>
  <rv s="1">
    <v>en-US</v>
    <v>a1v3yc</v>
    <v>268435456</v>
    <v>1</v>
    <v>Powered by Refinitiv</v>
    <v>0</v>
    <v>iShares:US BD &amp; SE ETF (ARCX:IAI)</v>
    <v>2</v>
    <v>3</v>
    <v>Finance</v>
    <v>5</v>
    <v>198.09</v>
    <v>157.78</v>
    <v>1.1742999999999999</v>
    <v>-1.64</v>
    <v>0</v>
    <v>-8.6079999999999993E-3</v>
    <v>0</v>
    <v>USD</v>
    <v>NYSE Arca</v>
    <v>ARCX</v>
    <v>3.7000000000000002E-3</v>
    <v>191.75</v>
    <v>ETF</v>
    <v>46279.979195867971</v>
    <v>124</v>
    <v>188.1</v>
    <v>1409411385.4200001</v>
    <v>iShares:US BD &amp; SE ETF</v>
    <v>190.31</v>
    <v>190.51</v>
    <v>188.87</v>
    <v>188.87</v>
    <v>IAI</v>
    <v>iShares:US BD &amp; SE ETF (ARCX:IAI)</v>
    <v>47631</v>
    <v>74523</v>
  </rv>
  <rv s="2">
    <v>125</v>
  </rv>
  <rv s="0">
    <v>https://www.bing.com/financeapi/forcetrigger?t=a1wer7&amp;q=ARCX%3aKBE&amp;form=skydnc</v>
    <v>Learn more on Bing</v>
  </rv>
  <rv s="1">
    <v>en-US</v>
    <v>a1wer7</v>
    <v>268435456</v>
    <v>1</v>
    <v>Powered by Refinitiv</v>
    <v>0</v>
    <v>SS SPDR S&amp;P Bank ETF (ARCX:KBE)</v>
    <v>2</v>
    <v>3</v>
    <v>Finance</v>
    <v>5</v>
    <v>71.92</v>
    <v>54.64</v>
    <v>1.0054000000000001</v>
    <v>0.1</v>
    <v>0</v>
    <v>1.47E-3</v>
    <v>0</v>
    <v>USD</v>
    <v>NYSE Arca</v>
    <v>ARCX</v>
    <v>3.4999999999999996E-3</v>
    <v>68.63</v>
    <v>ETF</v>
    <v>46279.979196469532</v>
    <v>127</v>
    <v>67.849999999999994</v>
    <v>1621131671.1900001</v>
    <v>SS SPDR S&amp;P Bank ETF</v>
    <v>68.02</v>
    <v>68.040000000000006</v>
    <v>68.14</v>
    <v>68.14</v>
    <v>KBE</v>
    <v>SS SPDR S&amp;P Bank ETF (ARCX:KBE)</v>
    <v>1522680</v>
    <v>1157753</v>
  </rv>
  <rv s="2">
    <v>128</v>
  </rv>
  <rv s="0">
    <v>https://www.bing.com/financeapi/forcetrigger?t=a1zwp2&amp;q=ARCX%3aPJP&amp;form=skydnc</v>
    <v>Learn more on Bing</v>
  </rv>
  <rv s="1">
    <v>en-US</v>
    <v>a1zwp2</v>
    <v>268435456</v>
    <v>1</v>
    <v>Powered by Refinitiv</v>
    <v>0</v>
    <v>Invesco Pharmaceuticals (ARCX:PJP)</v>
    <v>2</v>
    <v>3</v>
    <v>Finance</v>
    <v>5</v>
    <v>131.67500000000001</v>
    <v>90.01</v>
    <v>0.89319999999999999</v>
    <v>0.87039999999999995</v>
    <v>0</v>
    <v>7.0140000000000003E-3</v>
    <v>0</v>
    <v>USD</v>
    <v>NYSE Arca</v>
    <v>ARCX</v>
    <v>5.7999999999999996E-3</v>
    <v>125.7199</v>
    <v>ETF</v>
    <v>46279.979183633593</v>
    <v>130</v>
    <v>124.95</v>
    <v>532488997.19</v>
    <v>Invesco Pharmaceuticals</v>
    <v>125.36</v>
    <v>124.09</v>
    <v>124.96040000000001</v>
    <v>124.96040000000001</v>
    <v>PJP</v>
    <v>Invesco Pharmaceuticals (ARCX:PJP)</v>
    <v>13891</v>
    <v>30925</v>
  </rv>
  <rv s="2">
    <v>131</v>
  </rv>
  <rv s="0">
    <v>https://www.bing.com/financeapi/forcetrigger?t=a1vzh7&amp;q=ARCX%3aIYM&amp;form=skydnc</v>
    <v>Learn more on Bing</v>
  </rv>
  <rv s="1">
    <v>en-US</v>
    <v>a1vzh7</v>
    <v>268435456</v>
    <v>1</v>
    <v>Powered by Refinitiv</v>
    <v>0</v>
    <v>iShares:US Bsc Mat (ARCX:IYM)</v>
    <v>2</v>
    <v>3</v>
    <v>Finance</v>
    <v>5</v>
    <v>197.3587</v>
    <v>139.08000000000001</v>
    <v>1.0488999999999999</v>
    <v>-3.32</v>
    <v>0</v>
    <v>-1.7795999999999999E-2</v>
    <v>0</v>
    <v>USD</v>
    <v>NYSE Arca</v>
    <v>ARCX</v>
    <v>3.7000000000000002E-3</v>
    <v>184.29</v>
    <v>ETF</v>
    <v>46279.979182997653</v>
    <v>133</v>
    <v>182.87</v>
    <v>1104552733.8299999</v>
    <v>iShares:US Bsc Mat</v>
    <v>184.29</v>
    <v>186.56</v>
    <v>183.24</v>
    <v>183.24</v>
    <v>IYM</v>
    <v>iShares:US Bsc Mat (ARCX:IYM)</v>
    <v>40201</v>
    <v>166706</v>
  </rv>
  <rv s="2">
    <v>134</v>
  </rv>
  <rv s="0">
    <v>https://www.bing.com/financeapi/forcetrigger?t=azkh9c&amp;q=BATS%3aIFRA&amp;form=skydnc</v>
    <v>Learn more on Bing</v>
  </rv>
  <rv s="1">
    <v>en-US</v>
    <v>azkh9c</v>
    <v>268435456</v>
    <v>1</v>
    <v>Powered by Refinitiv</v>
    <v>0</v>
    <v>ISHARES US INFRASTRUCTURE ETF (BATS:IFRA)</v>
    <v>2</v>
    <v>3</v>
    <v>Finance</v>
    <v>13</v>
    <v>64.25</v>
    <v>50.66</v>
    <v>0.99029999999999996</v>
    <v>-0.97</v>
    <v>0</v>
    <v>-1.6615000000000001E-2</v>
    <v>0</v>
    <v>USD</v>
    <v>CBOE BZX Exchange</v>
    <v>BATS</v>
    <v>3.0000000000000001E-3</v>
    <v>57.92</v>
    <v>ETF</v>
    <v>46279.979238378903</v>
    <v>136</v>
    <v>57.32</v>
    <v>4193918494.98</v>
    <v>ISHARES US INFRASTRUCTURE ETF</v>
    <v>57.78</v>
    <v>58.38</v>
    <v>57.41</v>
    <v>57.41</v>
    <v>IFRA</v>
    <v>ISHARES US INFRASTRUCTURE ETF (BATS:IFRA)</v>
    <v>248467</v>
    <v>496666</v>
  </rv>
  <rv s="2">
    <v>137</v>
  </rv>
  <rv s="0">
    <v>https://www.bing.com/financeapi/forcetrigger?t=a1sq4c&amp;q=ARCX%3aFDN&amp;form=skydnc</v>
    <v>Learn more on Bing</v>
  </rv>
  <rv s="1">
    <v>en-US</v>
    <v>a1sq4c</v>
    <v>268435456</v>
    <v>1</v>
    <v>Powered by Refinitiv</v>
    <v>0</v>
    <v>FT:DJ Internet Index Fd (ARCX:FDN)</v>
    <v>2</v>
    <v>3</v>
    <v>Finance</v>
    <v>5</v>
    <v>297.59120000000001</v>
    <v>224.465</v>
    <v>1.2554000000000001</v>
    <v>3.79</v>
    <v>0</v>
    <v>1.3118000000000001E-2</v>
    <v>0</v>
    <v>USD</v>
    <v>NYSE Arca</v>
    <v>ARCX</v>
    <v>4.8999999999999998E-3</v>
    <v>293.83999999999997</v>
    <v>ETF</v>
    <v>46279.979175578126</v>
    <v>139</v>
    <v>288.94</v>
    <v>5410252701.0600004</v>
    <v>FT:DJ Internet Index Fd</v>
    <v>289.31</v>
    <v>288.92</v>
    <v>292.70999999999998</v>
    <v>292.70999999999998</v>
    <v>FDN</v>
    <v>FT:DJ Internet Index Fd (ARCX:FDN)</v>
    <v>313403</v>
    <v>181996</v>
  </rv>
  <rv s="2">
    <v>140</v>
  </rv>
  <rv s="0">
    <v>https://www.bing.com/financeapi/forcetrigger?t=a1wn3m&amp;q=ARCX%3aKRE&amp;form=skydnc</v>
    <v>Learn more on Bing</v>
  </rv>
  <rv s="1">
    <v>en-US</v>
    <v>a1wn3m</v>
    <v>268435456</v>
    <v>1</v>
    <v>Powered by Refinitiv</v>
    <v>0</v>
    <v>SS SPDR S&amp;P Reg Banking (ARCX:KRE)</v>
    <v>2</v>
    <v>3</v>
    <v>Finance</v>
    <v>5</v>
    <v>78.349999999999994</v>
    <v>57.551699999999997</v>
    <v>1.1054999999999999</v>
    <v>0.21</v>
    <v>1.0789999999999999E-3</v>
    <v>2.8419999999999999E-3</v>
    <v>0.08</v>
    <v>USD</v>
    <v>NYSE Arca</v>
    <v>ARCX</v>
    <v>3.4999999999999996E-3</v>
    <v>74.685000000000002</v>
    <v>ETF</v>
    <v>46279.981036712503</v>
    <v>142</v>
    <v>73.680000000000007</v>
    <v>4010872925.4000001</v>
    <v>SS SPDR S&amp;P Reg Banking</v>
    <v>73.86</v>
    <v>73.900000000000006</v>
    <v>74.11</v>
    <v>74.19</v>
    <v>KRE</v>
    <v>SS SPDR S&amp;P Reg Banking (ARCX:KRE)</v>
    <v>15455117</v>
    <v>11206908</v>
  </rv>
  <rv s="2">
    <v>143</v>
  </rv>
  <rv s="0">
    <v>https://www.bing.com/financeapi/forcetrigger?t=a266rw&amp;q=ARCX%3aXHB&amp;form=skydnc</v>
    <v>Learn more on Bing</v>
  </rv>
  <rv s="1">
    <v>en-US</v>
    <v>a266rw</v>
    <v>268435456</v>
    <v>1</v>
    <v>Powered by Refinitiv</v>
    <v>0</v>
    <v>SS SPDR S&amp;P Homebuilders (ARCX:XHB)</v>
    <v>2</v>
    <v>3</v>
    <v>Finance</v>
    <v>5</v>
    <v>123.13</v>
    <v>93.57</v>
    <v>1.5825</v>
    <v>-0.19</v>
    <v>0</v>
    <v>-1.9300000000000001E-3</v>
    <v>0</v>
    <v>USD</v>
    <v>NYSE Arca</v>
    <v>ARCX</v>
    <v>3.4999999999999996E-3</v>
    <v>98.665000000000006</v>
    <v>ETF</v>
    <v>46279.979179513284</v>
    <v>145</v>
    <v>96.81</v>
    <v>1331822764.03</v>
    <v>SS SPDR S&amp;P Homebuilders</v>
    <v>97.19</v>
    <v>98.46</v>
    <v>98.27</v>
    <v>98.27</v>
    <v>XHB</v>
    <v>SS SPDR S&amp;P Homebuilders (ARCX:XHB)</v>
    <v>1394926</v>
    <v>1638149</v>
  </rv>
  <rv s="2">
    <v>146</v>
  </rv>
  <rv s="0">
    <v>https://www.bing.com/financeapi/forcetrigger?t=a1vzmw&amp;q=BATS%3aIYT&amp;form=skydnc</v>
    <v>Learn more on Bing</v>
  </rv>
  <rv s="1">
    <v>en-US</v>
    <v>a1vzmw</v>
    <v>268435456</v>
    <v>1</v>
    <v>Powered by Refinitiv</v>
    <v>0</v>
    <v>iShares:US Transportatn (BATS:IYT)</v>
    <v>2</v>
    <v>3</v>
    <v>Finance</v>
    <v>13</v>
    <v>90.06</v>
    <v>68.094999999999999</v>
    <v>0.94899999999999995</v>
    <v>0.5</v>
    <v>0</v>
    <v>6.0870000000000004E-3</v>
    <v>0</v>
    <v>USD</v>
    <v>CBOE BZX Exchange</v>
    <v>BATS</v>
    <v>3.7000000000000002E-3</v>
    <v>82.68</v>
    <v>ETF</v>
    <v>46279.979240601562</v>
    <v>148</v>
    <v>81.55</v>
    <v>2204334638.7800002</v>
    <v>iShares:US Transportatn</v>
    <v>81.67</v>
    <v>82.14</v>
    <v>82.64</v>
    <v>82.64</v>
    <v>IYT</v>
    <v>iShares:US Transportatn (BATS:IYT)</v>
    <v>788119</v>
    <v>495798</v>
  </rv>
  <rv s="2">
    <v>149</v>
  </rv>
  <rv s="0">
    <v>https://www.bing.com/financeapi/forcetrigger?t=a26ba2&amp;q=ARCX%3aXSW&amp;form=skydnc</v>
    <v>Learn more on Bing</v>
  </rv>
  <rv s="1">
    <v>en-US</v>
    <v>a26ba2</v>
    <v>268435456</v>
    <v>1</v>
    <v>Powered by Refinitiv</v>
    <v>0</v>
    <v>ST SRT SPDR S&amp;P SFTWR AND SRVCS ETF (ARCX:XSW)</v>
    <v>2</v>
    <v>3</v>
    <v>Finance</v>
    <v>5</v>
    <v>211.34</v>
    <v>135.19</v>
    <v>0.99050000000000005</v>
    <v>8.74</v>
    <v>4.5079999999999999E-3</v>
    <v>4.4743000000000005E-2</v>
    <v>0.92</v>
    <v>USD</v>
    <v>NYSE Arca</v>
    <v>ARCX</v>
    <v>3.4999999999999996E-3</v>
    <v>204.7</v>
    <v>ETF</v>
    <v>46279.97917607578</v>
    <v>151</v>
    <v>197.49</v>
    <v>509260848.47000003</v>
    <v>ST SRT SPDR S&amp;P SFTWR AND SRVCS ETF</v>
    <v>197.49</v>
    <v>195.34</v>
    <v>204.08</v>
    <v>205</v>
    <v>XSW</v>
    <v>ST SRT SPDR S&amp;P SFTWR AND SRVCS ETF (ARCX:XSW)</v>
    <v>30306</v>
    <v>49356</v>
  </rv>
  <rv s="2">
    <v>152</v>
  </rv>
  <rv s="0">
    <v>https://www.bing.com/financeapi/forcetrigger?t=bng4gh&amp;q=XNAS%3aESPO&amp;form=skydnc</v>
    <v>Learn more on Bing</v>
  </rv>
  <rv s="1">
    <v>en-US</v>
    <v>bng4gh</v>
    <v>268435456</v>
    <v>1</v>
    <v>Powered by Refinitiv</v>
    <v>0</v>
    <v>VANECK VIDEO GAMING AND ESPORTS ETF (XNAS:ESPO)</v>
    <v>2</v>
    <v>3</v>
    <v>Finance</v>
    <v>5</v>
    <v>122.986</v>
    <v>84.93</v>
    <v>0.72950000000000004</v>
    <v>2.04</v>
    <v>0</v>
    <v>2.0983000000000002E-2</v>
    <v>0</v>
    <v>USD</v>
    <v>Nasdaq Stock Market</v>
    <v>XNAS</v>
    <v>5.5000000000000005E-3</v>
    <v>99.36</v>
    <v>ETF</v>
    <v>46279.979194027343</v>
    <v>154</v>
    <v>97.685299999999998</v>
    <v>254046634.50999999</v>
    <v>VANECK VIDEO GAMING AND ESPORTS ETF</v>
    <v>97.93</v>
    <v>97.22</v>
    <v>99.26</v>
    <v>99.26</v>
    <v>ESPO</v>
    <v>VANECK VIDEO GAMING AND ESPORTS ETF (XNAS:ESPO)</v>
    <v>15981</v>
    <v>14953</v>
  </rv>
  <rv s="2">
    <v>155</v>
  </rv>
  <rv s="0">
    <v>https://www.bing.com/financeapi/forcetrigger?t=a23a8m&amp;q=XNAS%3aSOCL&amp;form=skydnc</v>
    <v>Learn more on Bing</v>
  </rv>
  <rv s="1">
    <v>en-US</v>
    <v>a23a8m</v>
    <v>268435456</v>
    <v>1</v>
    <v>Powered by Refinitiv</v>
    <v>0</v>
    <v>GLOBAL X FUNDS SOCIAL MEDIA ETF (XNAS:SOCL)</v>
    <v>2</v>
    <v>3</v>
    <v>Finance</v>
    <v>5</v>
    <v>63.93</v>
    <v>41.344999999999999</v>
    <v>1.0994999999999999</v>
    <v>0.74329999999999996</v>
    <v>2.1670000000000001E-3</v>
    <v>1.6832E-2</v>
    <v>9.7299999999999998E-2</v>
    <v>USD</v>
    <v>Nasdaq Stock Market</v>
    <v>XNAS</v>
    <v>6.5000000000000006E-3</v>
    <v>45.01</v>
    <v>ETF</v>
    <v>46279.979179247654</v>
    <v>157</v>
    <v>44.14</v>
    <v>87414191.780000001</v>
    <v>GLOBAL X FUNDS SOCIAL MEDIA ETF</v>
    <v>44.14</v>
    <v>44.159399999999998</v>
    <v>44.902700000000003</v>
    <v>45</v>
    <v>SOCL</v>
    <v>GLOBAL X FUNDS SOCIAL MEDIA ETF (XNAS:SOCL)</v>
    <v>2889</v>
    <v>12045</v>
  </rv>
  <rv s="2">
    <v>158</v>
  </rv>
  <rv s="0">
    <v>https://www.bing.com/financeapi/forcetrigger?t=a1v4jc&amp;q=XNAS%3aIBB&amp;form=skydnc</v>
    <v>Learn more on Bing</v>
  </rv>
  <rv s="1">
    <v>en-US</v>
    <v>a1v4jc</v>
    <v>268435456</v>
    <v>1</v>
    <v>Powered by Refinitiv</v>
    <v>0</v>
    <v>iShares:Biotechnology (XNAS:IBB)</v>
    <v>2</v>
    <v>3</v>
    <v>Finance</v>
    <v>4</v>
    <v>217.12</v>
    <v>138.785</v>
    <v>1.0311999999999999</v>
    <v>1.67</v>
    <v>-2.8150000000000001E-4</v>
    <v>8.2290000000000002E-3</v>
    <v>-5.7599999999999998E-2</v>
    <v>USD</v>
    <v>Nasdaq Stock Market</v>
    <v>XNAS</v>
    <v>4.4000000000000003E-3</v>
    <v>205.7</v>
    <v>ETF</v>
    <v>46279.992255786718</v>
    <v>160</v>
    <v>202.57</v>
    <v>10474939617.540001</v>
    <v>iShares:Biotechnology</v>
    <v>203.7</v>
    <v>202.93</v>
    <v>204.6</v>
    <v>204.54239999999999</v>
    <v>IBB</v>
    <v>iShares:Biotechnology (XNAS:IBB)</v>
    <v>1329864</v>
    <v>1595490</v>
  </rv>
  <rv s="2">
    <v>161</v>
  </rv>
  <rv s="0">
    <v>https://www.bing.com/financeapi/forcetrigger?t=a1vf8m&amp;q=ARCX%3aIHI&amp;form=skydnc</v>
    <v>Learn more on Bing</v>
  </rv>
  <rv s="1">
    <v>en-US</v>
    <v>a1vf8m</v>
    <v>268435456</v>
    <v>1</v>
    <v>Powered by Refinitiv</v>
    <v>0</v>
    <v>iShares:US Med Dev ETF (ARCX:IHI)</v>
    <v>2</v>
    <v>3</v>
    <v>Finance</v>
    <v>4</v>
    <v>64.709999999999994</v>
    <v>47.365000000000002</v>
    <v>0.93259999999999998</v>
    <v>1</v>
    <v>1.928E-4</v>
    <v>1.9654000000000001E-2</v>
    <v>0.01</v>
    <v>USD</v>
    <v>NYSE Arca</v>
    <v>ARCX</v>
    <v>3.7000000000000002E-3</v>
    <v>52.05</v>
    <v>ETF</v>
    <v>46279.990496990627</v>
    <v>163</v>
    <v>51.555</v>
    <v>3473586718.9499998</v>
    <v>iShares:US Med Dev ETF</v>
    <v>51.59</v>
    <v>50.88</v>
    <v>51.88</v>
    <v>51.87</v>
    <v>IHI</v>
    <v>iShares:US Med Dev ETF (ARCX:IHI)</v>
    <v>2505051</v>
    <v>2321113</v>
  </rv>
  <rv s="2">
    <v>164</v>
  </rv>
  <rv s="0">
    <v>https://www.bing.com/financeapi/forcetrigger?t=a1zjec&amp;q=ARCX%3aPBS&amp;form=skydnc</v>
    <v>Learn more on Bing</v>
  </rv>
  <rv s="1">
    <v>en-US</v>
    <v>a1zjec</v>
    <v>268435456</v>
    <v>1</v>
    <v>Powered by Refinitiv</v>
    <v>0</v>
    <v>Invesco NxtGn Med &amp; Gmng (ARCX:GGME)</v>
    <v>2</v>
    <v>3</v>
    <v>Finance</v>
    <v>5</v>
    <v>66.180000000000007</v>
    <v>49.0246</v>
    <v>0.82550000000000001</v>
    <v>0.97319999999999995</v>
    <v>0</v>
    <v>1.5061E-2</v>
    <v>0</v>
    <v>USD</v>
    <v>NYSE Arca</v>
    <v>ARCX</v>
    <v>6.3E-3</v>
    <v>65.588999999999999</v>
    <v>ETF</v>
    <v>46279.979228344528</v>
    <v>166</v>
    <v>64.59</v>
    <v>45649506.670000002</v>
    <v>Invesco NxtGn Med &amp; Gmng</v>
    <v>64.59</v>
    <v>64.615799999999993</v>
    <v>65.588999999999999</v>
    <v>65.588999999999999</v>
    <v>GGME</v>
    <v>Invesco NxtGn Med &amp; Gmng (ARCX:GGME)</v>
    <v>948</v>
    <v>717</v>
  </rv>
  <rv s="2">
    <v>167</v>
  </rv>
  <rv s="3">
    <v>en-US</v>
    <v>cc7ocw</v>
    <v>268435456</v>
    <v>1</v>
    <v>Powered by Refinitiv</v>
    <v>6</v>
    <v>RANGE NUCLEAR RENAISSANCE IX ETF (ARCX:NUKZ)</v>
    <v>7</v>
    <v>8</v>
    <v>Finance</v>
    <v>5</v>
    <v>77.34</v>
    <v>60.72</v>
    <v>-2.1509999999999998</v>
    <v>3.186E-3</v>
    <v>-3.3369000000000003E-2</v>
    <v>0.19850000000000001</v>
    <v>USD</v>
    <v>NYSE Arca</v>
    <v>ARCX</v>
    <v>8.5000000000000006E-3</v>
    <v>62.956400000000002</v>
    <v>ETF</v>
    <v>46279.985198286719</v>
    <v>62.31</v>
    <v>756118359.13999999</v>
    <v>RANGE NUCLEAR RENAISSANCE IX ETF</v>
    <v>62.83</v>
    <v>64.460999999999999</v>
    <v>62.31</v>
    <v>62.508499999999998</v>
    <v>NUKZ</v>
    <v>RANGE NUCLEAR RENAISSANCE IX ETF (ARCX:NUKZ)</v>
    <v>135705</v>
    <v>102590</v>
  </rv>
  <rv s="2">
    <v>169</v>
  </rv>
  <rv s="0">
    <v>https://www.bing.com/financeapi/forcetrigger?t=a232h7&amp;q=XNAS%3aSKYY&amp;form=skydnc</v>
    <v>Learn more on Bing</v>
  </rv>
  <rv s="1">
    <v>en-US</v>
    <v>a232h7</v>
    <v>268435456</v>
    <v>1</v>
    <v>Powered by Refinitiv</v>
    <v>0</v>
    <v>FIRST TRUST CLOUD COMPUTING ETF (XNAS:SKYY)</v>
    <v>2</v>
    <v>3</v>
    <v>Finance</v>
    <v>5</v>
    <v>169.05</v>
    <v>103.76</v>
    <v>1.4609000000000001</v>
    <v>4.3</v>
    <v>0</v>
    <v>2.7134000000000002E-2</v>
    <v>0</v>
    <v>USD</v>
    <v>Nasdaq Stock Market</v>
    <v>XNAS</v>
    <v>6.0000000000000001E-3</v>
    <v>163.505</v>
    <v>ETF</v>
    <v>46279.979179178124</v>
    <v>171</v>
    <v>158.26</v>
    <v>3388826949.1999998</v>
    <v>FIRST TRUST CLOUD COMPUTING ETF</v>
    <v>158.79</v>
    <v>158.47</v>
    <v>162.77000000000001</v>
    <v>162.77000000000001</v>
    <v>SKYY</v>
    <v>FIRST TRUST CLOUD COMPUTING ETF (XNAS:SKYY)</v>
    <v>554859</v>
    <v>255024</v>
  </rv>
  <rv s="2">
    <v>172</v>
  </rv>
  <rv s="0">
    <v>https://www.bing.com/financeapi/forcetrigger?t=bvn2mw&amp;q=ARCX%3aMSOS&amp;form=skydnc</v>
    <v>Learn more on Bing</v>
  </rv>
  <rv s="1">
    <v>en-US</v>
    <v>bvn2mw</v>
    <v>268435456</v>
    <v>1</v>
    <v>Powered by Refinitiv</v>
    <v>0</v>
    <v>ADVISORSHARES PURE US CANNABIS ETF (ARCX:MSOS)</v>
    <v>2</v>
    <v>3</v>
    <v>Finance</v>
    <v>4</v>
    <v>7.25</v>
    <v>2.96</v>
    <v>0.6079</v>
    <v>0.18</v>
    <v>2.5200000000000001E-3</v>
    <v>3.7894999999999998E-2</v>
    <v>1.24E-2</v>
    <v>USD</v>
    <v>NYSE Arca</v>
    <v>ARCX</v>
    <v>7.8000000000000005E-3</v>
    <v>5.0549999999999997</v>
    <v>ETF</v>
    <v>46279.995750717186</v>
    <v>174</v>
    <v>4.68</v>
    <v>973578549.84000003</v>
    <v>ADVISORSHARES PURE US CANNABIS ETF</v>
    <v>4.75</v>
    <v>4.75</v>
    <v>4.93</v>
    <v>4.9324000000000003</v>
    <v>MSOS</v>
    <v>ADVISORSHARES PURE US CANNABIS ETF (ARCX:MSOS)</v>
    <v>5521226</v>
    <v>4196580</v>
  </rv>
  <rv s="2">
    <v>175</v>
  </rv>
  <rv s="0">
    <v>https://www.bing.com/financeapi/forcetrigger?t=a1z5r7&amp;q=ARCX%3aOIH&amp;form=skydnc</v>
    <v>Learn more on Bing</v>
  </rv>
  <rv s="1">
    <v>en-US</v>
    <v>a1z5r7</v>
    <v>268435456</v>
    <v>1</v>
    <v>Powered by Refinitiv</v>
    <v>0</v>
    <v>VANECK OIL SERVICES ETF (ARCX:OIH)</v>
    <v>2</v>
    <v>3</v>
    <v>Finance</v>
    <v>4</v>
    <v>459.28</v>
    <v>242.24</v>
    <v>1.3814</v>
    <v>-18.61</v>
    <v>0</v>
    <v>-4.4239000000000001E-2</v>
    <v>0</v>
    <v>USD</v>
    <v>NYSE Arca</v>
    <v>ARCX</v>
    <v>3.4999999999999996E-3</v>
    <v>418.1</v>
    <v>ETF</v>
    <v>46279.995072140628</v>
    <v>177</v>
    <v>400.25</v>
    <v>2016612522.8099999</v>
    <v>VANECK OIL SERVICES ETF</v>
    <v>418.1</v>
    <v>420.67</v>
    <v>402.06</v>
    <v>402.06</v>
    <v>OIH</v>
    <v>VANECK OIL SERVICES ETF (ARCX:OIH)</v>
    <v>363713</v>
    <v>250528</v>
  </rv>
  <rv s="2">
    <v>178</v>
  </rv>
  <rv s="0">
    <v>https://www.bing.com/financeapi/forcetrigger?t=a1vtr7&amp;q=BATS%3aITA&amp;form=skydnc</v>
    <v>Learn more on Bing</v>
  </rv>
  <rv s="1">
    <v>en-US</v>
    <v>a1vtr7</v>
    <v>268435456</v>
    <v>1</v>
    <v>Powered by Refinitiv</v>
    <v>0</v>
    <v>iShares:US Aer&amp;Def ETF (BATS:ITA)</v>
    <v>2</v>
    <v>3</v>
    <v>Finance</v>
    <v>13</v>
    <v>256.60000000000002</v>
    <v>195.71</v>
    <v>0.90849999999999997</v>
    <v>-2.2400000000000002</v>
    <v>-8.788E-4</v>
    <v>-1.0227999999999999E-2</v>
    <v>-0.1905</v>
    <v>USD</v>
    <v>CBOE BZX Exchange</v>
    <v>BATS</v>
    <v>3.7000000000000002E-3</v>
    <v>217.44499999999999</v>
    <v>ETF</v>
    <v>46279.979241157031</v>
    <v>180</v>
    <v>215.41</v>
    <v>13628639850.16</v>
    <v>iShares:US Aer&amp;Def ETF</v>
    <v>216.53</v>
    <v>219.01</v>
    <v>216.77</v>
    <v>216.5795</v>
    <v>ITA</v>
    <v>iShares:US Aer&amp;Def ETF (BATS:ITA)</v>
    <v>1068829</v>
    <v>587841</v>
  </rv>
  <rv s="2">
    <v>181</v>
  </rv>
  <rv s="0">
    <v>https://www.bing.com/financeapi/forcetrigger?t=a269pr&amp;q=ARCX%3aXOP&amp;form=skydnc</v>
    <v>Learn more on Bing</v>
  </rv>
  <rv s="1">
    <v>en-US</v>
    <v>a269pr</v>
    <v>268435456</v>
    <v>1</v>
    <v>Powered by Refinitiv</v>
    <v>0</v>
    <v>SS SPDR S&amp;P Oil&amp;Gas Exp (ARCX:XOP)</v>
    <v>2</v>
    <v>3</v>
    <v>Finance</v>
    <v>4</v>
    <v>199.46</v>
    <v>122.11</v>
    <v>1.2345999999999999</v>
    <v>-2.23</v>
    <v>4.032E-3</v>
    <v>-1.1394E-2</v>
    <v>0.78</v>
    <v>USD</v>
    <v>NYSE Arca</v>
    <v>ARCX</v>
    <v>3.4999999999999996E-3</v>
    <v>199.46</v>
    <v>ETF</v>
    <v>46279.995832164066</v>
    <v>183</v>
    <v>192.99</v>
    <v>3986409207.5700002</v>
    <v>SS SPDR S&amp;P Oil&amp;Gas Exp</v>
    <v>198.86</v>
    <v>195.72</v>
    <v>193.49</v>
    <v>194.25</v>
    <v>XOP</v>
    <v>SS SPDR S&amp;P Oil&amp;Gas Exp (ARCX:XOP)</v>
    <v>3795472</v>
    <v>2732897</v>
  </rv>
  <rv s="2">
    <v>184</v>
  </rv>
  <rv s="0">
    <v>https://www.bing.com/financeapi/forcetrigger?t=a23xqh&amp;q=ARCX%3aTAN&amp;form=skydnc</v>
    <v>Learn more on Bing</v>
  </rv>
  <rv s="1">
    <v>en-US</v>
    <v>a23xqh</v>
    <v>268435456</v>
    <v>1</v>
    <v>Powered by Refinitiv</v>
    <v>0</v>
    <v>Invesco Solar (ARCX:TAN)</v>
    <v>2</v>
    <v>3</v>
    <v>Finance</v>
    <v>5</v>
    <v>75.599999999999994</v>
    <v>41.33</v>
    <v>0.99709999999999999</v>
    <v>-0.93</v>
    <v>6.058E-3</v>
    <v>-1.9723999999999998E-2</v>
    <v>0.28000000000000003</v>
    <v>USD</v>
    <v>NYSE Arca</v>
    <v>ARCX</v>
    <v>6.9999999999999993E-3</v>
    <v>46.74</v>
    <v>ETF</v>
    <v>46279.982618622656</v>
    <v>186</v>
    <v>45.560099999999998</v>
    <v>1054457339.4</v>
    <v>Invesco Solar</v>
    <v>45.68</v>
    <v>47.15</v>
    <v>46.22</v>
    <v>46.5</v>
    <v>TAN</v>
    <v>Invesco Solar (ARCX:TAN)</v>
    <v>521409</v>
    <v>806868</v>
  </rv>
  <rv s="2">
    <v>187</v>
  </rv>
  <rv s="0">
    <v>https://www.bing.com/financeapi/forcetrigger?t=a1or9c&amp;q=XNAS%3aBOTZ&amp;form=skydnc</v>
    <v>Learn more on Bing</v>
  </rv>
  <rv s="1">
    <v>en-US</v>
    <v>a1or9c</v>
    <v>268435456</v>
    <v>1</v>
    <v>Powered by Refinitiv</v>
    <v>0</v>
    <v>GLOBAL X ROBOTICS ARTFCL INTLGNC ETF (XNAS:BOTZ)</v>
    <v>2</v>
    <v>3</v>
    <v>Finance</v>
    <v>4</v>
    <v>41.71</v>
    <v>31.875</v>
    <v>1.6628000000000001</v>
    <v>-0.52</v>
    <v>6.3029999999999996E-3</v>
    <v>-1.4739E-2</v>
    <v>0.21909999999999999</v>
    <v>USD</v>
    <v>Nasdaq Stock Market</v>
    <v>XNAS</v>
    <v>6.8000000000000005E-3</v>
    <v>34.924999999999997</v>
    <v>ETF</v>
    <v>46279.994309687499</v>
    <v>189</v>
    <v>34.53</v>
    <v>3438523946.8400002</v>
    <v>GLOBAL X ROBOTICS ARTFCL INTLGNC ETF</v>
    <v>34.6</v>
    <v>35.28</v>
    <v>34.76</v>
    <v>34.979100000000003</v>
    <v>BOTZ</v>
    <v>GLOBAL X ROBOTICS ARTFCL INTLGNC ETF (XNAS:BOTZ)</v>
    <v>665768</v>
    <v>637103</v>
  </rv>
  <rv s="2">
    <v>190</v>
  </rv>
  <rv s="0">
    <v>https://www.bing.com/financeapi/forcetrigger?t=b9wnim&amp;q=ARCX%3aQTUM&amp;form=skydnc</v>
    <v>Learn more on Bing</v>
  </rv>
  <rv s="1">
    <v>en-US</v>
    <v>b9wnim</v>
    <v>268435456</v>
    <v>1</v>
    <v>Powered by Refinitiv</v>
    <v>0</v>
    <v>DEFIANCE QUANTUM ETF (XNAS:QTUM)</v>
    <v>2</v>
    <v>3</v>
    <v>Finance</v>
    <v>5</v>
    <v>170</v>
    <v>98.210099999999997</v>
    <v>1.4024000000000001</v>
    <v>-4.6100000000000003</v>
    <v>4.8320000000000004E-3</v>
    <v>-3.1273000000000002E-2</v>
    <v>0.69</v>
    <v>USD</v>
    <v>Nasdaq Stock Market</v>
    <v>XNAS</v>
    <v>4.0000000000000001E-3</v>
    <v>144.09</v>
    <v>ETF</v>
    <v>46279.980626805467</v>
    <v>192</v>
    <v>142.22</v>
    <v>5561583312.3999996</v>
    <v>DEFIANCE QUANTUM ETF</v>
    <v>143.24</v>
    <v>147.41</v>
    <v>142.80000000000001</v>
    <v>143.49</v>
    <v>QTUM</v>
    <v>DEFIANCE QUANTUM ETF (XNAS:QTUM)</v>
    <v>296512</v>
    <v>307211</v>
  </rv>
  <rv s="2">
    <v>193</v>
  </rv>
  <rv s="0">
    <v>https://www.bing.com/financeapi/forcetrigger?t=a235f2&amp;q=XNAS%3aSMH&amp;form=skydnc</v>
    <v>Learn more on Bing</v>
  </rv>
  <rv s="1">
    <v>en-US</v>
    <v>a235f2</v>
    <v>268435456</v>
    <v>1</v>
    <v>Powered by Refinitiv</v>
    <v>0</v>
    <v>VANECK SEMICONDUCTOR ETF (XNAS:SMH)</v>
    <v>2</v>
    <v>3</v>
    <v>Finance</v>
    <v>4</v>
    <v>671.83</v>
    <v>301.37</v>
    <v>1.6452</v>
    <v>-27.03</v>
    <v>5.1520000000000003E-3</v>
    <v>-4.7544000000000003E-2</v>
    <v>2.79</v>
    <v>USD</v>
    <v>Nasdaq Stock Market</v>
    <v>XNAS</v>
    <v>3.4999999999999996E-3</v>
    <v>546.76</v>
    <v>ETF</v>
    <v>46279.996518390624</v>
    <v>195</v>
    <v>537.73</v>
    <v>67787031449.059998</v>
    <v>VANECK SEMICONDUCTOR ETF</v>
    <v>539.99</v>
    <v>568.53</v>
    <v>541.5</v>
    <v>544.29</v>
    <v>SMH</v>
    <v>VANECK SEMICONDUCTOR ETF (XNAS:SMH)</v>
    <v>10636138</v>
    <v>6655439</v>
  </rv>
  <rv s="2">
    <v>196</v>
  </rv>
  <rv s="0">
    <v>https://www.bing.com/financeapi/forcetrigger?t=a1zjvh&amp;q=ARCX%3aPBW&amp;form=skydnc</v>
    <v>Learn more on Bing</v>
  </rv>
  <rv s="1">
    <v>en-US</v>
    <v>a1zjvh</v>
    <v>268435456</v>
    <v>1</v>
    <v>Powered by Refinitiv</v>
    <v>0</v>
    <v>Invesco WldHill CE (ARCX:PBW)</v>
    <v>2</v>
    <v>3</v>
    <v>Finance</v>
    <v>5</v>
    <v>47.22</v>
    <v>25.604700000000001</v>
    <v>0.99429999999999996</v>
    <v>-0.7</v>
    <v>-3.2890000000000003E-3</v>
    <v>-2.2508E-2</v>
    <v>-0.1</v>
    <v>USD</v>
    <v>NYSE Arca</v>
    <v>ARCX</v>
    <v>6.3E-3</v>
    <v>30.75</v>
    <v>ETF</v>
    <v>46279.979236596875</v>
    <v>198</v>
    <v>30.2</v>
    <v>382712525.32999998</v>
    <v>Invesco WldHill CE</v>
    <v>30.26</v>
    <v>31.1</v>
    <v>30.4</v>
    <v>30.3</v>
    <v>PBW</v>
    <v>Invesco WldHill CE (ARCX:PBW)</v>
    <v>380697</v>
    <v>512115</v>
  </rv>
  <rv s="2">
    <v>199</v>
  </rv>
  <rv s="0">
    <v>https://www.bing.com/financeapi/forcetrigger?t=bqf977&amp;q=ARCX%3aIHAK&amp;form=skydnc</v>
    <v>Learn more on Bing</v>
  </rv>
  <rv s="1">
    <v>en-US</v>
    <v>bqf977</v>
    <v>268435456</v>
    <v>1</v>
    <v>Powered by Refinitiv</v>
    <v>0</v>
    <v>ISHARES CYBERSECURITY AND TECH ETF (ARCX:IHAK)</v>
    <v>2</v>
    <v>3</v>
    <v>Finance</v>
    <v>4</v>
    <v>68.45</v>
    <v>40.97</v>
    <v>0.63929999999999998</v>
    <v>4.75</v>
    <v>1.5509E-2</v>
    <v>7.7336000000000002E-2</v>
    <v>1.0266999999999999</v>
    <v>USD</v>
    <v>NYSE Arca</v>
    <v>ARCX</v>
    <v>4.6999999999999993E-3</v>
    <v>66.53</v>
    <v>ETF</v>
    <v>46279.994710358595</v>
    <v>201</v>
    <v>62.76</v>
    <v>1103216500.2</v>
    <v>ISHARES CYBERSECURITY AND TECH ETF</v>
    <v>62.84</v>
    <v>61.42</v>
    <v>66.17</v>
    <v>67.226699999999994</v>
    <v>IHAK</v>
    <v>ISHARES CYBERSECURITY AND TECH ETF (ARCX:IHAK)</v>
    <v>267076</v>
    <v>136348</v>
  </rv>
  <rv s="2">
    <v>202</v>
  </rv>
  <rv s="0">
    <v>https://www.bing.com/financeapi/forcetrigger?t=a23epr&amp;q=ARCX%3aSPLV&amp;form=skydnc</v>
    <v>Learn more on Bing</v>
  </rv>
  <rv s="1">
    <v>en-US</v>
    <v>a23epr</v>
    <v>268435456</v>
    <v>1</v>
    <v>Powered by Refinitiv</v>
    <v>0</v>
    <v>INVSC S P 500 LOW VOLATILITY ETF (ARCX:SPLV)</v>
    <v>2</v>
    <v>3</v>
    <v>Finance</v>
    <v>5</v>
    <v>78.819999999999993</v>
    <v>69.63</v>
    <v>0.65110000000000001</v>
    <v>0.03</v>
    <v>-1.49E-3</v>
    <v>4.0660000000000002E-4</v>
    <v>-0.11</v>
    <v>USD</v>
    <v>NYSE Arca</v>
    <v>ARCX</v>
    <v>2.5000000000000001E-3</v>
    <v>74.45</v>
    <v>ETF</v>
    <v>46279.979196562497</v>
    <v>204</v>
    <v>73.67</v>
    <v>7086068501.1400003</v>
    <v>INVSC S P 500 LOW VOLATILITY ETF</v>
    <v>74.14</v>
    <v>73.790000000000006</v>
    <v>73.819999999999993</v>
    <v>73.709999999999994</v>
    <v>SPLV</v>
    <v>INVSC S P 500 LOW VOLATILITY ETF (ARCX:SPLV)</v>
    <v>1904623</v>
    <v>2041078</v>
  </rv>
  <rv s="2">
    <v>205</v>
  </rv>
  <rv s="0">
    <v>https://www.bing.com/financeapi/forcetrigger?t=a1yndm&amp;q=BATS%3aNOBL&amp;form=skydnc</v>
    <v>Learn more on Bing</v>
  </rv>
  <rv s="1">
    <v>en-US</v>
    <v>a1yndm</v>
    <v>268435456</v>
    <v>1</v>
    <v>Powered by Refinitiv</v>
    <v>0</v>
    <v>PROSHARES S&amp;P 500 DIV ARISTOCRAT ETF (BATS:NOBL)</v>
    <v>2</v>
    <v>3</v>
    <v>Finance</v>
    <v>13</v>
    <v>59.3</v>
    <v>50.115000000000002</v>
    <v>0.81040000000000001</v>
    <v>0.33</v>
    <v>-8.8400000000000006E-3</v>
    <v>5.8690000000000001E-3</v>
    <v>-0.5</v>
    <v>USD</v>
    <v>CBOE BZX Exchange</v>
    <v>BATS</v>
    <v>3.4999999999999996E-3</v>
    <v>56.88</v>
    <v>ETF</v>
    <v>46279.980314270309</v>
    <v>207</v>
    <v>56.454999999999998</v>
    <v>11801154979.870001</v>
    <v>PROSHARES S&amp;P 500 DIV ARISTOCRAT ETF</v>
    <v>56.48</v>
    <v>56.23</v>
    <v>56.56</v>
    <v>56.06</v>
    <v>NOBL</v>
    <v>PROSHARES S&amp;P 500 DIV ARISTOCRAT ETF (BATS:NOBL)</v>
    <v>1334688</v>
    <v>945055</v>
  </rv>
  <rv s="2">
    <v>208</v>
  </rv>
  <rv s="0">
    <v>https://www.bing.com/financeapi/forcetrigger?t=a21har&amp;q=ARCX%3aSPGP&amp;form=skydnc</v>
    <v>Learn more on Bing</v>
  </rv>
  <rv s="1">
    <v>en-US</v>
    <v>a21har</v>
    <v>268435456</v>
    <v>1</v>
    <v>Powered by Refinitiv</v>
    <v>0</v>
    <v>INVESCO S AND P 500 GARP ETF (ARCX:SPGP)</v>
    <v>2</v>
    <v>3</v>
    <v>Finance</v>
    <v>5</v>
    <v>129.63999999999999</v>
    <v>103.86</v>
    <v>0.87090000000000001</v>
    <v>0.78</v>
    <v>0</v>
    <v>6.3619999999999996E-3</v>
    <v>0</v>
    <v>USD</v>
    <v>NYSE Arca</v>
    <v>ARCX</v>
    <v>3.4000000000000002E-3</v>
    <v>123.48</v>
    <v>ETF</v>
    <v>46279.97917652734</v>
    <v>210</v>
    <v>122.5</v>
    <v>2249498828.5700002</v>
    <v>INVESCO S AND P 500 GARP ETF</v>
    <v>122.6</v>
    <v>122.61</v>
    <v>123.39</v>
    <v>123.39</v>
    <v>SPGP</v>
    <v>INVESCO S AND P 500 GARP ETF (ARCX:SPGP)</v>
    <v>67053</v>
    <v>74880</v>
  </rv>
  <rv s="2">
    <v>211</v>
  </rv>
  <rv s="0">
    <v>https://www.bing.com/financeapi/forcetrigger?t=a21hdm&amp;q=ARCX%3aSPVM&amp;form=skydnc</v>
    <v>Learn more on Bing</v>
  </rv>
  <rv s="1">
    <v>en-US</v>
    <v>a21hdm</v>
    <v>268435456</v>
    <v>1</v>
    <v>Powered by Refinitiv</v>
    <v>0</v>
    <v>INVESCO S AND P 500 VL WITH ETF (ARCX:SPVM)</v>
    <v>2</v>
    <v>3</v>
    <v>Finance</v>
    <v>5</v>
    <v>78.97</v>
    <v>63.283799999999999</v>
    <v>0.93720000000000003</v>
    <v>-0.12</v>
    <v>0</v>
    <v>-1.5559999999999999E-3</v>
    <v>0</v>
    <v>USD</v>
    <v>NYSE Arca</v>
    <v>ARCX</v>
    <v>3.9000000000000003E-3</v>
    <v>77.408900000000003</v>
    <v>ETF</v>
    <v>46279.937500022657</v>
    <v>213</v>
    <v>76.765000000000001</v>
    <v>136455735.28</v>
    <v>INVESCO S AND P 500 VL WITH ETF</v>
    <v>77.38</v>
    <v>77.099999999999994</v>
    <v>76.98</v>
    <v>76.98</v>
    <v>SPVM</v>
    <v>INVESCO S AND P 500 VL WITH ETF (ARCX:SPVM)</v>
    <v>5669</v>
    <v>8805</v>
  </rv>
  <rv s="2">
    <v>214</v>
  </rv>
  <rv s="0">
    <v>https://www.bing.com/financeapi/forcetrigger?t=a1zxlh&amp;q=XNAS%3aPKW&amp;form=skydnc</v>
    <v>Learn more on Bing</v>
  </rv>
  <rv s="1">
    <v>en-US</v>
    <v>a1zxlh</v>
    <v>268435456</v>
    <v>1</v>
    <v>Powered by Refinitiv</v>
    <v>0</v>
    <v>Invesco Bybck Ach (XNAS:PKW)</v>
    <v>2</v>
    <v>3</v>
    <v>Finance</v>
    <v>5</v>
    <v>154.72</v>
    <v>125.47</v>
    <v>0.81820000000000004</v>
    <v>0.46479999999999999</v>
    <v>0</v>
    <v>3.075E-3</v>
    <v>0</v>
    <v>USD</v>
    <v>Nasdaq Stock Market</v>
    <v>XNAS</v>
    <v>6.1999999999999998E-3</v>
    <v>151.92500000000001</v>
    <v>ETF</v>
    <v>46279.9791940625</v>
    <v>216</v>
    <v>150.85</v>
    <v>1787678433.55</v>
    <v>Invesco Bybck Ach</v>
    <v>151.63999999999999</v>
    <v>151.17519999999999</v>
    <v>151.63999999999999</v>
    <v>151.63999999999999</v>
    <v>PKW</v>
    <v>Invesco Bybck Ach (XNAS:PKW)</v>
    <v>38101</v>
    <v>27873</v>
  </rv>
  <rv s="2">
    <v>217</v>
  </rv>
  <rv s="0">
    <v>https://www.bing.com/financeapi/forcetrigger?t=a23hw7&amp;q=ARCX%3aSPYD&amp;form=skydnc</v>
    <v>Learn more on Bing</v>
  </rv>
  <rv s="1">
    <v>en-US</v>
    <v>a23hw7</v>
    <v>268435456</v>
    <v>1</v>
    <v>Powered by Refinitiv</v>
    <v>0</v>
    <v>ST STRT SPDR PRTL S&amp;P 500 HG ETF (ARCX:SPYD)</v>
    <v>2</v>
    <v>3</v>
    <v>Finance</v>
    <v>4</v>
    <v>50.9</v>
    <v>41.87</v>
    <v>0.84550000000000003</v>
    <v>0.16</v>
    <v>6.1689999999999997E-6</v>
    <v>3.3E-3</v>
    <v>2.9999999999999997E-4</v>
    <v>USD</v>
    <v>NYSE Arca</v>
    <v>ARCX</v>
    <v>7.000000000000001E-4</v>
    <v>49.02</v>
    <v>ETF</v>
    <v>46279.991111573436</v>
    <v>219</v>
    <v>48.52</v>
    <v>7653382405.75</v>
    <v>ST STRT SPDR PRTL S&amp;P 500 HG ETF</v>
    <v>48.72</v>
    <v>48.49</v>
    <v>48.65</v>
    <v>48.630299999999998</v>
    <v>SPYD</v>
    <v>ST STRT SPDR PRTL S&amp;P 500 HG ETF (ARCX:SPYD)</v>
    <v>976344</v>
    <v>779950</v>
  </rv>
  <rv s="2">
    <v>220</v>
  </rv>
  <rv s="0">
    <v>https://www.bing.com/financeapi/forcetrigger?t=a23dkr&amp;q=ARCX%3aSPHD&amp;form=skydnc</v>
    <v>Learn more on Bing</v>
  </rv>
  <rv s="1">
    <v>en-US</v>
    <v>a23dkr</v>
    <v>268435456</v>
    <v>1</v>
    <v>Powered by Refinitiv</v>
    <v>0</v>
    <v>INVSC S P 500 HIGH DIV LW VLTLTY ETF (ARCX:SPHD)</v>
    <v>2</v>
    <v>3</v>
    <v>Finance</v>
    <v>5</v>
    <v>54.04</v>
    <v>46.58</v>
    <v>0.80110000000000003</v>
    <v>0.1</v>
    <v>1.5559999999999999E-3</v>
    <v>1.949E-3</v>
    <v>0.08</v>
    <v>USD</v>
    <v>NYSE Arca</v>
    <v>ARCX</v>
    <v>3.0000000000000001E-3</v>
    <v>51.905000000000001</v>
    <v>ETF</v>
    <v>46279.984074235937</v>
    <v>222</v>
    <v>51.344999999999999</v>
    <v>3412700291.1900001</v>
    <v>INVSC S P 500 HIGH DIV LW VLTLTY ETF</v>
    <v>51.63</v>
    <v>51.31</v>
    <v>51.41</v>
    <v>51.49</v>
    <v>SPHD</v>
    <v>INVSC S P 500 HIGH DIV LW VLTLTY ETF (ARCX:SPHD)</v>
    <v>617905</v>
    <v>637983</v>
  </rv>
  <rv s="2">
    <v>223</v>
  </rv>
  <rv s="0">
    <v>https://www.bing.com/financeapi/forcetrigger?t=a22ckr&amp;q=ARCX%3aRWL&amp;form=skydnc</v>
    <v>Learn more on Bing</v>
  </rv>
  <rv s="1">
    <v>en-US</v>
    <v>a22ckr</v>
    <v>268435456</v>
    <v>1</v>
    <v>Powered by Refinitiv</v>
    <v>0</v>
    <v>Invesco S&amp;P 500 Revenue (ARCX:RWL)</v>
    <v>2</v>
    <v>3</v>
    <v>Finance</v>
    <v>5</v>
    <v>135.88</v>
    <v>108.43</v>
    <v>0.89590000000000003</v>
    <v>0.26</v>
    <v>0</v>
    <v>1.946E-3</v>
    <v>0</v>
    <v>USD</v>
    <v>NYSE Arca</v>
    <v>ARCX</v>
    <v>3.9000000000000003E-3</v>
    <v>134.16</v>
    <v>ETF</v>
    <v>46279.979181180468</v>
    <v>225</v>
    <v>133.51</v>
    <v>9964367579.4699993</v>
    <v>Invesco S&amp;P 500 Revenue</v>
    <v>133.78</v>
    <v>133.63999999999999</v>
    <v>133.9</v>
    <v>133.9</v>
    <v>RWL</v>
    <v>Invesco S&amp;P 500 Revenue (ARCX:RWL)</v>
    <v>212171</v>
    <v>241779</v>
  </rv>
  <rv s="2">
    <v>226</v>
  </rv>
  <rv s="0">
    <v>https://www.bing.com/financeapi/forcetrigger?t=a23i2w&amp;q=ARCX%3aSPYV&amp;form=skydnc</v>
    <v>Learn more on Bing</v>
  </rv>
  <rv s="1">
    <v>en-US</v>
    <v>a23i2w</v>
    <v>268435456</v>
    <v>1</v>
    <v>Powered by Refinitiv</v>
    <v>0</v>
    <v>SS SPDR Ptf S&amp;P 500 Val (ARCX:SPYV)</v>
    <v>2</v>
    <v>3</v>
    <v>Finance</v>
    <v>5</v>
    <v>64.260000000000005</v>
    <v>54.244999999999997</v>
    <v>0.99829999999999997</v>
    <v>-0.1</v>
    <v>-7.3089999999999995E-3</v>
    <v>-1.586E-3</v>
    <v>-0.46</v>
    <v>USD</v>
    <v>NYSE Arca</v>
    <v>ARCX</v>
    <v>4.0000000000000002E-4</v>
    <v>63.164999999999999</v>
    <v>ETF</v>
    <v>46279.979197106251</v>
    <v>228</v>
    <v>62.820099999999996</v>
    <v>36675060906.870003</v>
    <v>SS SPDR Ptf S&amp;P 500 Val</v>
    <v>63.02</v>
    <v>63.04</v>
    <v>62.94</v>
    <v>62.48</v>
    <v>SPYV</v>
    <v>SS SPDR Ptf S&amp;P 500 Val (ARCX:SPYV)</v>
    <v>1780128</v>
    <v>1423489</v>
  </rv>
  <rv s="2">
    <v>229</v>
  </rv>
  <rv s="0">
    <v>https://www.bing.com/financeapi/forcetrigger?t=a21nw7&amp;q=BATS%3aQUAL&amp;form=skydnc</v>
    <v>Learn more on Bing</v>
  </rv>
  <rv s="1">
    <v>en-US</v>
    <v>a21nw7</v>
    <v>268435456</v>
    <v>1</v>
    <v>Powered by Refinitiv</v>
    <v>0</v>
    <v>ISHARES MSCI USA QLTY FACT ETF (BATS:QUAL)</v>
    <v>2</v>
    <v>3</v>
    <v>Finance</v>
    <v>13</v>
    <v>227.32</v>
    <v>185.88499999999999</v>
    <v>0.89580000000000004</v>
    <v>-0.05</v>
    <v>0</v>
    <v>-2.2710000000000002E-4</v>
    <v>0</v>
    <v>USD</v>
    <v>CBOE BZX Exchange</v>
    <v>BATS</v>
    <v>1.5E-3</v>
    <v>220.82</v>
    <v>ETF</v>
    <v>46279.979195995315</v>
    <v>231</v>
    <v>219.35</v>
    <v>47691346767.410004</v>
    <v>ISHARES MSCI USA QLTY FACT ETF</v>
    <v>219.35</v>
    <v>220.2</v>
    <v>220.15</v>
    <v>220.15</v>
    <v>QUAL</v>
    <v>ISHARES MSCI USA QLTY FACT ETF (BATS:QUAL)</v>
    <v>767401</v>
    <v>853654</v>
  </rv>
  <rv s="2">
    <v>232</v>
  </rv>
  <rv s="0">
    <v>https://www.bing.com/financeapi/forcetrigger?t=a228nm&amp;q=ARCX%3aRPV&amp;form=skydnc</v>
    <v>Learn more on Bing</v>
  </rv>
  <rv s="1">
    <v>en-US</v>
    <v>a228nm</v>
    <v>268435456</v>
    <v>1</v>
    <v>Powered by Refinitiv</v>
    <v>0</v>
    <v>Invesco S&amp;P500 Pre V (ARCX:RPV)</v>
    <v>2</v>
    <v>3</v>
    <v>Finance</v>
    <v>5</v>
    <v>123.43</v>
    <v>95.86</v>
    <v>1.044</v>
    <v>7.0000000000000007E-2</v>
    <v>0</v>
    <v>5.7410000000000002E-4</v>
    <v>0</v>
    <v>USD</v>
    <v>NYSE Arca</v>
    <v>ARCX</v>
    <v>3.4999999999999996E-3</v>
    <v>122.7633</v>
    <v>ETF</v>
    <v>46279.979179513284</v>
    <v>234</v>
    <v>121.72</v>
    <v>1732869375.5</v>
    <v>Invesco S&amp;P500 Pre V</v>
    <v>122.11</v>
    <v>121.92</v>
    <v>121.99</v>
    <v>121.99</v>
    <v>RPV</v>
    <v>Invesco S&amp;P500 Pre V (ARCX:RPV)</v>
    <v>106331</v>
    <v>137593</v>
  </rv>
  <rv s="2">
    <v>235</v>
  </rv>
  <rv s="0">
    <v>https://www.bing.com/financeapi/forcetrigger?t=a229vh&amp;q=ARCX%3aRSP&amp;form=skydnc</v>
    <v>Learn more on Bing</v>
  </rv>
  <rv s="1">
    <v>en-US</v>
    <v>a229vh</v>
    <v>268435456</v>
    <v>1</v>
    <v>Powered by Refinitiv</v>
    <v>0</v>
    <v>Invesco S&amp;P500 EWght (ARCX:RSP)</v>
    <v>2</v>
    <v>3</v>
    <v>Finance</v>
    <v>4</v>
    <v>223.435</v>
    <v>182.11</v>
    <v>0.88770000000000004</v>
    <v>0.15</v>
    <v>2.3249999999999999E-4</v>
    <v>6.981E-4</v>
    <v>0.05</v>
    <v>USD</v>
    <v>NYSE Arca</v>
    <v>ARCX</v>
    <v>2E-3</v>
    <v>215.78</v>
    <v>ETF</v>
    <v>46279.98965785859</v>
    <v>237</v>
    <v>214.31</v>
    <v>100248698053.62</v>
    <v>Invesco S&amp;P500 EWght</v>
    <v>214.65</v>
    <v>214.87</v>
    <v>215.02</v>
    <v>215.06</v>
    <v>RSP</v>
    <v>Invesco S&amp;P500 EWght (ARCX:RSP)</v>
    <v>6730648</v>
    <v>5812163</v>
  </rv>
  <rv s="2">
    <v>238</v>
  </rv>
  <rv s="0">
    <v>https://www.bing.com/financeapi/forcetrigger?t=a1vxww&amp;q=ARCX%3aIWV&amp;form=skydnc</v>
    <v>Learn more on Bing</v>
  </rv>
  <rv s="1">
    <v>en-US</v>
    <v>a1vxww</v>
    <v>268435456</v>
    <v>1</v>
    <v>Powered by Refinitiv</v>
    <v>0</v>
    <v>iShares:Russell 3000 (ARCX:IWV)</v>
    <v>2</v>
    <v>3</v>
    <v>Finance</v>
    <v>5</v>
    <v>443.90499999999997</v>
    <v>358.55</v>
    <v>0.99980000000000002</v>
    <v>-1.79</v>
    <v>-1.4810000000000001E-3</v>
    <v>-4.1240000000000001E-3</v>
    <v>-0.64</v>
    <v>USD</v>
    <v>NYSE Arca</v>
    <v>ARCX</v>
    <v>2E-3</v>
    <v>433.77</v>
    <v>ETF</v>
    <v>46279.979196782035</v>
    <v>240</v>
    <v>430.69</v>
    <v>20216747123.25</v>
    <v>iShares:Russell 3000</v>
    <v>431.35</v>
    <v>434.07</v>
    <v>432.28</v>
    <v>431.64</v>
    <v>IWV</v>
    <v>iShares:Russell 3000 (ARCX:IWV)</v>
    <v>115155</v>
    <v>122057</v>
  </rv>
  <rv s="2">
    <v>241</v>
  </rv>
  <rv s="0">
    <v>https://www.bing.com/financeapi/forcetrigger?t=a23f27&amp;q=BATS%3aSPMV&amp;form=skydnc</v>
    <v>Learn more on Bing</v>
  </rv>
  <rv s="6">
    <v>en-US</v>
    <v>a23f27</v>
    <v>268435456</v>
    <v>1</v>
    <v>1</v>
    <v>Powered by Refinitiv</v>
    <v>14</v>
    <v>Invesco S&amp;P500 MV (BATS:SPMV)</v>
    <v>2</v>
    <v>3</v>
    <v>Finance</v>
    <v>4</v>
    <v>48.247500000000002</v>
    <v>42.382199999999997</v>
    <v>0.75670000000000004</v>
    <v>-0.24060000000000001</v>
    <v>0</v>
    <v>-5.0130000000000001E-3</v>
    <v>0</v>
    <v>USD</v>
    <v>CBOE BZX Exchange</v>
    <v>BATS</v>
    <v>1E-3</v>
    <v>47.752600000000001</v>
    <v>ETF</v>
    <v>45817.937565115622</v>
    <v>243</v>
    <v>47.63</v>
    <v>3808145.09</v>
    <v>Invesco S&amp;P500 MV</v>
    <v>47.63</v>
    <v>47.993200000000002</v>
    <v>47.752600000000001</v>
    <v>47.752600000000001</v>
    <v>SPMV</v>
    <v>Invesco S&amp;P500 MV (BATS:SPMV)</v>
    <v>128</v>
    <v>194</v>
  </rv>
  <rv s="2">
    <v>244</v>
  </rv>
  <rv s="0">
    <v>https://www.bing.com/financeapi/forcetrigger?t=a23goc&amp;q=ARCX%3aSPVU&amp;form=skydnc</v>
    <v>Learn more on Bing</v>
  </rv>
  <rv s="1">
    <v>en-US</v>
    <v>a23goc</v>
    <v>268435456</v>
    <v>1</v>
    <v>Powered by Refinitiv</v>
    <v>0</v>
    <v>INVESCO S&amp;P 500 CONCENTRATED QVM ETF (ARCX:QVMT)</v>
    <v>2</v>
    <v>3</v>
    <v>Finance</v>
    <v>5</v>
    <v>69.915000000000006</v>
    <v>52.925899999999999</v>
    <v>0.78869999999999996</v>
    <v>-1.2133</v>
    <v>0</v>
    <v>-1.8273999999999999E-2</v>
    <v>0</v>
    <v>USD</v>
    <v>NYSE Arca</v>
    <v>ARCX</v>
    <v>1.2999999999999999E-3</v>
    <v>65.599999999999994</v>
    <v>ETF</v>
    <v>46279.979188818746</v>
    <v>246</v>
    <v>65.180999999999997</v>
    <v>132519942.52</v>
    <v>INVESCO S&amp;P 500 CONCENTRATED QVM ETF</v>
    <v>65.555000000000007</v>
    <v>66.394300000000001</v>
    <v>65.180999999999997</v>
    <v>65.180999999999997</v>
    <v>QVMT</v>
    <v>INVESCO S&amp;P 500 CONCENTRATED QVM ETF (ARCX:QVMT)</v>
    <v>1506</v>
    <v>7969</v>
  </rv>
  <rv s="2">
    <v>247</v>
  </rv>
  <rv s="0">
    <v>https://www.bing.com/financeapi/forcetrigger?t=a2289c&amp;q=ARCX%3aRPG&amp;form=skydnc</v>
    <v>Learn more on Bing</v>
  </rv>
  <rv s="1">
    <v>en-US</v>
    <v>a2289c</v>
    <v>268435456</v>
    <v>1</v>
    <v>Powered by Refinitiv</v>
    <v>0</v>
    <v>Invesco S&amp;P500 Pr Gr (ARCX:RPG)</v>
    <v>2</v>
    <v>3</v>
    <v>Finance</v>
    <v>5</v>
    <v>64.055000000000007</v>
    <v>43.41</v>
    <v>0.95089999999999997</v>
    <v>-1.2</v>
    <v>0</v>
    <v>-2.1044999999999998E-2</v>
    <v>0</v>
    <v>USD</v>
    <v>NYSE Arca</v>
    <v>ARCX</v>
    <v>3.4999999999999996E-3</v>
    <v>56.13</v>
    <v>ETF</v>
    <v>46279.979194258594</v>
    <v>249</v>
    <v>55.34</v>
    <v>1921364791.3199999</v>
    <v>Invesco S&amp;P500 Pr Gr</v>
    <v>55.46</v>
    <v>57.02</v>
    <v>55.82</v>
    <v>55.82</v>
    <v>RPG</v>
    <v>Invesco S&amp;P500 Pr Gr (ARCX:RPG)</v>
    <v>384588</v>
    <v>385838</v>
  </rv>
  <rv s="2">
    <v>250</v>
  </rv>
  <rv s="0">
    <v>https://www.bing.com/financeapi/forcetrigger?t=a23eyc&amp;q=ARCX%3aSPMO&amp;form=skydnc</v>
    <v>Learn more on Bing</v>
  </rv>
  <rv s="1">
    <v>en-US</v>
    <v>a23eyc</v>
    <v>268435456</v>
    <v>1</v>
    <v>Powered by Refinitiv</v>
    <v>0</v>
    <v>INVSC S P 500 MOMENTUM ETF (ARCX:SPMO)</v>
    <v>2</v>
    <v>3</v>
    <v>Finance</v>
    <v>4</v>
    <v>162.30000000000001</v>
    <v>107.24</v>
    <v>1.0834999999999999</v>
    <v>-4.1100000000000003</v>
    <v>3.1210000000000001E-3</v>
    <v>-2.7712000000000001E-2</v>
    <v>0.45</v>
    <v>USD</v>
    <v>NYSE Arca</v>
    <v>ARCX</v>
    <v>1.2999999999999999E-3</v>
    <v>144.88</v>
    <v>ETF</v>
    <v>46279.996537638282</v>
    <v>252</v>
    <v>143.43340000000001</v>
    <v>22189884585.98</v>
    <v>INVSC S P 500 MOMENTUM ETF</v>
    <v>143.75200000000001</v>
    <v>148.31</v>
    <v>144.19999999999999</v>
    <v>144.63999999999999</v>
    <v>SPMO</v>
    <v>INVSC S P 500 MOMENTUM ETF (ARCX:SPMO)</v>
    <v>2610681</v>
    <v>1643777</v>
  </rv>
  <rv s="2">
    <v>253</v>
  </rv>
  <rv s="0">
    <v>https://www.bing.com/financeapi/forcetrigger?t=a23dhw&amp;q=ARCX%3aSPHB&amp;form=skydnc</v>
    <v>Learn more on Bing</v>
  </rv>
  <rv s="1">
    <v>en-US</v>
    <v>a23dhw</v>
    <v>268435456</v>
    <v>1</v>
    <v>Powered by Refinitiv</v>
    <v>0</v>
    <v>INVSC S P 500 HIGH BETA ETF (ARCX:SPHB)</v>
    <v>2</v>
    <v>3</v>
    <v>Finance</v>
    <v>5</v>
    <v>157.57</v>
    <v>103.31</v>
    <v>0.98740000000000006</v>
    <v>-5.13</v>
    <v>0</v>
    <v>-3.4624999999999996E-2</v>
    <v>0</v>
    <v>USD</v>
    <v>NYSE Arca</v>
    <v>ARCX</v>
    <v>2.5000000000000001E-3</v>
    <v>144.18</v>
    <v>ETF</v>
    <v>46279.97917881875</v>
    <v>255</v>
    <v>142.41</v>
    <v>909790652.49000001</v>
    <v>INVSC S P 500 HIGH BETA ETF</v>
    <v>142.80000000000001</v>
    <v>148.16</v>
    <v>143.03</v>
    <v>143.03</v>
    <v>SPHB</v>
    <v>INVSC S P 500 HIGH BETA ETF (ARCX:SPHB)</v>
    <v>452987</v>
    <v>221835</v>
  </rv>
  <rv s="2">
    <v>256</v>
  </rv>
  <rv s="0">
    <v>https://www.bing.com/financeapi/forcetrigger?t=a1slm7&amp;q=XNAS%3aMETA&amp;form=skydnc</v>
    <v>Learn more on Bing</v>
  </rv>
  <rv s="7">
    <v>en-US</v>
    <v>a1slm7</v>
    <v>268435456</v>
    <v>1</v>
    <v>Powered by Refinitiv</v>
    <v>15</v>
    <v>META PLATFORMS, INC. (XNAS:META)</v>
    <v>16</v>
    <v>17</v>
    <v>Finance</v>
    <v>18</v>
    <v>790.8</v>
    <v>520.26</v>
    <v>1.2029000000000001</v>
    <v>17.57</v>
    <v>-1.5459999999999998E-3</v>
    <v>2.7113000000000002E-2</v>
    <v>-1.0290999999999999</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75472</v>
    <v>Nasdaq Stock Market</v>
    <v>XNAS</v>
    <v>XNAS</v>
    <v>1 Meta Way, MENLO PARK, CA, 94025 US</v>
    <v>668.6</v>
    <v>Software &amp; IT Services</v>
    <v>Stock</v>
    <v>46279.996609606249</v>
    <v>258</v>
    <v>649.22</v>
    <v>1695619993600</v>
    <v>META PLATFORMS, INC.</v>
    <v>META PLATFORMS, INC.</v>
    <v>657.83</v>
    <v>23.048400000000001</v>
    <v>648.03</v>
    <v>665.6</v>
    <v>664.57090000000005</v>
    <v>2547506000</v>
    <v>META</v>
    <v>META PLATFORMS, INC. (XNAS:META)</v>
    <v>19330659</v>
    <v>16985185</v>
    <v>2004</v>
  </rv>
  <rv s="2">
    <v>259</v>
  </rv>
  <rv s="0">
    <v>https://www.bing.com/financeapi/forcetrigger?t=a1nhlh&amp;q=XNAS%3aAMZN&amp;form=skydnc</v>
    <v>Learn more on Bing</v>
  </rv>
  <rv s="7">
    <v>en-US</v>
    <v>a1nhlh</v>
    <v>268435456</v>
    <v>1</v>
    <v>Powered by Refinitiv</v>
    <v>15</v>
    <v>AMAZON.COM, INC. (XNAS:AMZN)</v>
    <v>16</v>
    <v>17</v>
    <v>Finance</v>
    <v>18</v>
    <v>287.2</v>
    <v>196</v>
    <v>1.4523999999999999</v>
    <v>-3.24</v>
    <v>-1.9720000000000002E-4</v>
    <v>-1.2618000000000001E-2</v>
    <v>-0.05</v>
    <v>USD</v>
    <v>Amazon.com, Inc. offers a variety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1595000</v>
    <v>Nasdaq Stock Market</v>
    <v>XNAS</v>
    <v>XNAS</v>
    <v>410 Terry Avenue North, SEATTLE, WA, 98109 US</v>
    <v>255.95</v>
    <v>Diversified Retail</v>
    <v>Stock</v>
    <v>46279.996617800782</v>
    <v>261</v>
    <v>250.74</v>
    <v>2734761037400</v>
    <v>AMAZON.COM, INC.</v>
    <v>AMAZON.COM, INC.</v>
    <v>253.15</v>
    <v>20.3932</v>
    <v>256.77999999999997</v>
    <v>253.54</v>
    <v>253.49</v>
    <v>10786310000</v>
    <v>AMZN</v>
    <v>AMAZON.COM, INC. (XNAS:AMZN)</v>
    <v>34345705</v>
    <v>32100408</v>
    <v>1996</v>
  </rv>
  <rv s="2">
    <v>262</v>
  </rv>
  <rv s="0">
    <v>http://en.wikipedia.org/wiki/Public_domain</v>
    <v>Public domain</v>
  </rv>
  <rv s="0">
    <v>https://en.wikipedia.org/wiki/Microsoft</v>
    <v>Wikipedia</v>
  </rv>
  <rv s="8">
    <v>264</v>
    <v>265</v>
  </rv>
  <rv s="9">
    <v>23</v>
    <v>https://www.bing.com/th?id=AMMS_e6e837c7bf3a77408619758b7447855a&amp;qlt=95</v>
    <v>266</v>
    <v>0</v>
    <v>https://www.bing.com/images/search?form=xlimg&amp;q=microsoft</v>
    <v>Image of MICROSOFT CORPORATION</v>
  </rv>
  <rv s="0">
    <v>https://www.bing.com/financeapi/forcetrigger?t=a1xzim&amp;q=XNAS%3aMSFT&amp;form=skydnc</v>
    <v>Learn more on Bing</v>
  </rv>
  <rv s="10">
    <v>en-US</v>
    <v>a1xzim</v>
    <v>268435456</v>
    <v>1</v>
    <v>Powered by Refinitiv</v>
    <v>19</v>
    <v>MICROSOFT CORPORATION (XNAS:MSFT)</v>
    <v>21</v>
    <v>22</v>
    <v>Finance</v>
    <v>18</v>
    <v>553.72</v>
    <v>349.2</v>
    <v>1.1033999999999999</v>
    <v>9.7799999999999994</v>
    <v>-2.7700000000000003E-3</v>
    <v>1.9732E-2</v>
    <v>-1.4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223000</v>
    <v>Nasdaq Stock Market</v>
    <v>XNAS</v>
    <v>XNAS</v>
    <v>One Microsoft Way, REDMOND, WA, 98052 US</v>
    <v>509.95</v>
    <v>267</v>
    <v>Software &amp; IT Services</v>
    <v>Stock</v>
    <v>46279.996252510937</v>
    <v>268</v>
    <v>495.34160000000003</v>
    <v>3752944698450</v>
    <v>MICROSOFT CORPORATION</v>
    <v>MICROSOFT CORPORATION</v>
    <v>497.06</v>
    <v>27.616800000000001</v>
    <v>495.63</v>
    <v>505.41</v>
    <v>504.01</v>
    <v>7425545000</v>
    <v>MSFT</v>
    <v>MICROSOFT CORPORATION (XNAS:MSFT)</v>
    <v>23091284</v>
    <v>22045221</v>
    <v>1993</v>
  </rv>
  <rv s="2">
    <v>269</v>
  </rv>
  <rv s="0">
    <v>https://www.bing.com/financeapi/forcetrigger?t=a1u3p2&amp;q=XNAS%3aGOOG&amp;form=skydnc</v>
    <v>Learn more on Bing</v>
  </rv>
  <rv s="7">
    <v>en-US</v>
    <v>a1u3p2</v>
    <v>268435456</v>
    <v>1</v>
    <v>Powered by Refinitiv</v>
    <v>15</v>
    <v>ALPHABET INC. (XNAS:GOOG)</v>
    <v>16</v>
    <v>17</v>
    <v>Finance</v>
    <v>18</v>
    <v>404.47</v>
    <v>236.685</v>
    <v>1.2135</v>
    <v>10.26</v>
    <v>-4.9459999999999999E-3</v>
    <v>3.0586000000000002E-2</v>
    <v>-1.71</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198933</v>
    <v>Nasdaq Stock Market</v>
    <v>XNAS</v>
    <v>XNAS</v>
    <v>1600 Amphitheatre Parkway, MOUNTAIN VIEW, CA, 94043 US</v>
    <v>346.45</v>
    <v>Software &amp; IT Services</v>
    <v>Stock</v>
    <v>46279.996632835158</v>
    <v>271</v>
    <v>338.74</v>
    <v>4228033299999</v>
    <v>ALPHABET INC.</v>
    <v>ALPHABET INC.</v>
    <v>339.11</v>
    <v>17.377700000000001</v>
    <v>335.45</v>
    <v>345.71</v>
    <v>344</v>
    <v>12230000000</v>
    <v>GOOG</v>
    <v>ALPHABET INC. (XNAS:GOOG)</v>
    <v>22483508</v>
    <v>15329807</v>
    <v>2015</v>
  </rv>
  <rv s="2">
    <v>272</v>
  </rv>
  <rv s="0">
    <v>https://www.bing.com/financeapi/forcetrigger?t=a1mou2&amp;q=XNAS%3aAAPL&amp;form=skydnc</v>
    <v>Learn more on Bing</v>
  </rv>
  <rv s="7">
    <v>en-US</v>
    <v>a1mou2</v>
    <v>268435456</v>
    <v>1</v>
    <v>Powered by Refinitiv</v>
    <v>15</v>
    <v>APPLE INC. (XNAS:AAPL)</v>
    <v>16</v>
    <v>17</v>
    <v>Finance</v>
    <v>18</v>
    <v>344.56990000000002</v>
    <v>235.03</v>
    <v>1.0697000000000001</v>
    <v>0.81</v>
    <v>-2.7320000000000001E-3</v>
    <v>2.4380000000000001E-3</v>
    <v>-0.91</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335.5</v>
    <v>Computers, Phones &amp; Household Electronics</v>
    <v>Stock</v>
    <v>46279.996694571091</v>
    <v>274</v>
    <v>331.34</v>
    <v>4861029474400</v>
    <v>APPLE INC.</v>
    <v>APPLE INC.</v>
    <v>334.79</v>
    <v>38.326500000000003</v>
    <v>332.27</v>
    <v>333.08</v>
    <v>332.17</v>
    <v>14594180000</v>
    <v>AAPL</v>
    <v>APPLE INC. (XNAS:AAPL)</v>
    <v>39267036</v>
    <v>41975994</v>
    <v>1977</v>
  </rv>
  <rv s="2">
    <v>275</v>
  </rv>
  <rv s="0">
    <v>https://www.bing.com/financeapi/forcetrigger?t=a1yv52&amp;q=XNAS%3aNVDA&amp;form=skydnc</v>
    <v>Learn more on Bing</v>
  </rv>
  <rv s="7">
    <v>en-US</v>
    <v>a1yv52</v>
    <v>268435456</v>
    <v>1</v>
    <v>Powered by Refinitiv</v>
    <v>15</v>
    <v>NVIDIA CORPORATION (XNAS:NVDA)</v>
    <v>16</v>
    <v>17</v>
    <v>Finance</v>
    <v>18</v>
    <v>236.54</v>
    <v>164.27</v>
    <v>2.222</v>
    <v>-7.33</v>
    <v>5.2620000000000002E-3</v>
    <v>-3.3578999999999998E-2</v>
    <v>1.1100000000000001</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212.77</v>
    <v>Semiconductors &amp; Semiconductor Equipment</v>
    <v>Stock</v>
    <v>46279.99670402734</v>
    <v>277</v>
    <v>208.93</v>
    <v>5084136000000</v>
    <v>NVIDIA CORPORATION</v>
    <v>NVIDIA CORPORATION</v>
    <v>211.24</v>
    <v>26.6677</v>
    <v>218.29</v>
    <v>210.96</v>
    <v>212.07</v>
    <v>24100000000</v>
    <v>NVDA</v>
    <v>NVIDIA CORPORATION (XNAS:NVDA)</v>
    <v>132222851</v>
    <v>123392831</v>
    <v>1998</v>
  </rv>
  <rv s="2">
    <v>278</v>
  </rv>
  <rv s="0">
    <v>https://www.bing.com/financeapi/forcetrigger?t=a24kar&amp;q=XNAS%3aTSLA&amp;form=skydnc</v>
    <v>Learn more on Bing</v>
  </rv>
  <rv s="7">
    <v>en-US</v>
    <v>a24kar</v>
    <v>268435456</v>
    <v>1</v>
    <v>Powered by Refinitiv</v>
    <v>15</v>
    <v>TESLA, INC. (XNAS:TSLA)</v>
    <v>16</v>
    <v>17</v>
    <v>Finance</v>
    <v>18</v>
    <v>498.83</v>
    <v>297.38</v>
    <v>1.9121999999999999</v>
    <v>-6.47</v>
    <v>2.3119999999999998E-3</v>
    <v>-1.7704999999999999E-2</v>
    <v>0.83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367.73</v>
    <v>Automobiles &amp; Auto Parts</v>
    <v>Stock</v>
    <v>46279.996698390627</v>
    <v>280</v>
    <v>357.04</v>
    <v>1417768886590</v>
    <v>TESLA, INC.</v>
    <v>TESLA, INC.</v>
    <v>359.78</v>
    <v>359.25740000000002</v>
    <v>365.44</v>
    <v>358.97</v>
    <v>359.8</v>
    <v>3949547000</v>
    <v>TSLA</v>
    <v>TESLA, INC. (XNAS:TSLA)</v>
    <v>32470109</v>
    <v>37683690</v>
    <v>2024</v>
  </rv>
  <rv s="2">
    <v>281</v>
  </rv>
  <rv s="0">
    <v>https://www.bing.com/financeapi/forcetrigger?t=a1vgp2&amp;q=ARCX%3aIJS&amp;form=skydnc</v>
    <v>Learn more on Bing</v>
  </rv>
  <rv s="1">
    <v>en-US</v>
    <v>a1vgp2</v>
    <v>268435456</v>
    <v>1</v>
    <v>Powered by Refinitiv</v>
    <v>0</v>
    <v>iShares:S&amp;P SC 600 Val (ARCX:IJS)</v>
    <v>2</v>
    <v>3</v>
    <v>Finance</v>
    <v>5</v>
    <v>141.18450000000001</v>
    <v>104.63</v>
    <v>0.99919999999999998</v>
    <v>-0.54</v>
    <v>0</v>
    <v>-4.0100000000000005E-3</v>
    <v>0</v>
    <v>USD</v>
    <v>NYSE Arca</v>
    <v>ARCX</v>
    <v>1.8E-3</v>
    <v>134.85</v>
    <v>ETF</v>
    <v>46279.979173495311</v>
    <v>283</v>
    <v>133.84</v>
    <v>8246805877.8400002</v>
    <v>iShares:S&amp;P SC 600 Val</v>
    <v>134.05000000000001</v>
    <v>134.66999999999999</v>
    <v>134.13</v>
    <v>134.13</v>
    <v>IJS</v>
    <v>iShares:S&amp;P SC 600 Val (ARCX:IJS)</v>
    <v>183312</v>
    <v>225801</v>
  </rv>
  <rv s="2">
    <v>284</v>
  </rv>
  <rv s="0">
    <v>https://www.bing.com/financeapi/forcetrigger?t=a1vgrw&amp;q=XNAS%3aIJT&amp;form=skydnc</v>
    <v>Learn more on Bing</v>
  </rv>
  <rv s="1">
    <v>en-US</v>
    <v>a1vgrw</v>
    <v>268435456</v>
    <v>1</v>
    <v>Powered by Refinitiv</v>
    <v>0</v>
    <v>iShares:S&amp;P SC 600 Gro (XNAS:IJT)</v>
    <v>2</v>
    <v>3</v>
    <v>Finance</v>
    <v>5</v>
    <v>179.68</v>
    <v>132.97999999999999</v>
    <v>1</v>
    <v>-1.53</v>
    <v>0</v>
    <v>-9.1909999999999995E-3</v>
    <v>0</v>
    <v>USD</v>
    <v>Nasdaq Stock Market</v>
    <v>XNAS</v>
    <v>1.8E-3</v>
    <v>166.02</v>
    <v>ETF</v>
    <v>46279.979193865627</v>
    <v>286</v>
    <v>164.79</v>
    <v>8208603149.4499998</v>
    <v>iShares:S&amp;P SC 600 Gro</v>
    <v>165.09</v>
    <v>166.46</v>
    <v>164.93</v>
    <v>164.93</v>
    <v>IJT</v>
    <v>iShares:S&amp;P SC 600 Gro (XNAS:IJT)</v>
    <v>137452</v>
    <v>209304</v>
  </rv>
  <rv s="2">
    <v>287</v>
  </rv>
  <rv s="0">
    <v>https://www.bing.com/financeapi/forcetrigger?t=a1vggh&amp;q=ARCX%3aIJJ&amp;form=skydnc</v>
    <v>Learn more on Bing</v>
  </rv>
  <rv s="1">
    <v>en-US</v>
    <v>a1vggh</v>
    <v>268435456</v>
    <v>1</v>
    <v>Powered by Refinitiv</v>
    <v>0</v>
    <v>iShares:S&amp;P MC 400 Val (ARCX:IJJ)</v>
    <v>2</v>
    <v>3</v>
    <v>Finance</v>
    <v>5</v>
    <v>151.81</v>
    <v>123.89</v>
    <v>0.99960000000000004</v>
    <v>-0.83</v>
    <v>0</v>
    <v>-5.7159999999999997E-3</v>
    <v>0</v>
    <v>USD</v>
    <v>NYSE Arca</v>
    <v>ARCX</v>
    <v>1.8E-3</v>
    <v>145.19999999999999</v>
    <v>ETF</v>
    <v>46279.979188043748</v>
    <v>289</v>
    <v>144.27000000000001</v>
    <v>8776955743.3099995</v>
    <v>iShares:S&amp;P MC 400 Val</v>
    <v>144.71</v>
    <v>145.21</v>
    <v>144.38</v>
    <v>144.38</v>
    <v>IJJ</v>
    <v>iShares:S&amp;P MC 400 Val (ARCX:IJJ)</v>
    <v>213374</v>
    <v>124111</v>
  </rv>
  <rv s="2">
    <v>290</v>
  </rv>
  <rv s="0">
    <v>https://www.bing.com/financeapi/forcetrigger?t=a1vvsm&amp;q=ARCX%3aIVE&amp;form=skydnc</v>
    <v>Learn more on Bing</v>
  </rv>
  <rv s="1">
    <v>en-US</v>
    <v>a1vvsm</v>
    <v>268435456</v>
    <v>1</v>
    <v>Powered by Refinitiv</v>
    <v>0</v>
    <v>iShares:S&amp;P 500 Val (ARCX:IVE)</v>
    <v>2</v>
    <v>3</v>
    <v>Finance</v>
    <v>5</v>
    <v>239.93</v>
    <v>202.45</v>
    <v>1.0001</v>
    <v>-0.36</v>
    <v>0</v>
    <v>-1.5299999999999999E-3</v>
    <v>0</v>
    <v>USD</v>
    <v>NYSE Arca</v>
    <v>ARCX</v>
    <v>1.8E-3</v>
    <v>235.88</v>
    <v>ETF</v>
    <v>46279.979180416405</v>
    <v>292</v>
    <v>234.53</v>
    <v>50023502271.43</v>
    <v>iShares:S&amp;P 500 Val</v>
    <v>235.2</v>
    <v>235.32</v>
    <v>234.96</v>
    <v>234.96</v>
    <v>IVE</v>
    <v>iShares:S&amp;P 500 Val (ARCX:IVE)</v>
    <v>637730</v>
    <v>487830</v>
  </rv>
  <rv s="2">
    <v>293</v>
  </rv>
  <rv s="0">
    <v>https://www.bing.com/financeapi/forcetrigger?t=a1vwur&amp;q=ARCX%3aIVW&amp;form=skydnc</v>
    <v>Learn more on Bing</v>
  </rv>
  <rv s="1">
    <v>en-US</v>
    <v>a1vwur</v>
    <v>268435456</v>
    <v>1</v>
    <v>Powered by Refinitiv</v>
    <v>0</v>
    <v>iShares:S&amp;P 500 Gro (ARCX:IVW)</v>
    <v>2</v>
    <v>3</v>
    <v>Finance</v>
    <v>5</v>
    <v>143.26</v>
    <v>108.13</v>
    <v>0.99980000000000002</v>
    <v>-0.99</v>
    <v>0</v>
    <v>-7.1060000000000003E-3</v>
    <v>0</v>
    <v>USD</v>
    <v>NYSE Arca</v>
    <v>ARCX</v>
    <v>1.8E-3</v>
    <v>138.88999999999999</v>
    <v>ETF</v>
    <v>46279.979195</v>
    <v>295</v>
    <v>137.28</v>
    <v>76569103543.25</v>
    <v>iShares:S&amp;P 500 Gro</v>
    <v>137.66</v>
    <v>139.31</v>
    <v>138.32</v>
    <v>138.32</v>
    <v>IVW</v>
    <v>iShares:S&amp;P 500 Gro (ARCX:IVW)</v>
    <v>2093604</v>
    <v>1252770</v>
  </rv>
  <rv s="2">
    <v>296</v>
  </rv>
  <rv s="0">
    <v>https://www.bing.com/financeapi/forcetrigger?t=a1vgjc&amp;q=ARCX%3aIJK&amp;form=skydnc</v>
    <v>Learn more on Bing</v>
  </rv>
  <rv s="1">
    <v>en-US</v>
    <v>a1vgjc</v>
    <v>268435456</v>
    <v>1</v>
    <v>Powered by Refinitiv</v>
    <v>0</v>
    <v>iShares:S&amp;P MC 400 Gro (ARCX:IJK)</v>
    <v>2</v>
    <v>3</v>
    <v>Finance</v>
    <v>5</v>
    <v>119.3942</v>
    <v>91.3</v>
    <v>0.99950000000000006</v>
    <v>-1.45</v>
    <v>0</v>
    <v>-1.3002E-2</v>
    <v>0</v>
    <v>USD</v>
    <v>NYSE Arca</v>
    <v>ARCX</v>
    <v>1.6000000000000001E-3</v>
    <v>110.61</v>
    <v>ETF</v>
    <v>46279.979175810156</v>
    <v>298</v>
    <v>109.9</v>
    <v>10734891943.700001</v>
    <v>iShares:S&amp;P MC 400 Gro</v>
    <v>110.27</v>
    <v>111.52</v>
    <v>110.07</v>
    <v>110.07</v>
    <v>IJK</v>
    <v>iShares:S&amp;P MC 400 Gro (ARCX:IJK)</v>
    <v>232184</v>
    <v>199528</v>
  </rv>
  <rv s="2">
    <v>299</v>
  </rv>
  <rv s="0">
    <v>https://www.bing.com/financeapi/forcetrigger?t=a1rmtc&amp;q=ARCX%3aEDC&amp;form=skydnc</v>
    <v>Learn more on Bing</v>
  </rv>
  <rv s="1">
    <v>en-US</v>
    <v>a1rmtc</v>
    <v>268435456</v>
    <v>1</v>
    <v>Powered by Refinitiv</v>
    <v>0</v>
    <v>Direxion:MSCI EM Bull 3X (ARCX:EDC)</v>
    <v>2</v>
    <v>3</v>
    <v>Finance</v>
    <v>4</v>
    <v>103.88</v>
    <v>46.11</v>
    <v>2.4361000000000002</v>
    <v>-6.77</v>
    <v>5.3609999999999997E-4</v>
    <v>-8.2944999999999991E-2</v>
    <v>0.04</v>
    <v>USD</v>
    <v>NYSE Arca</v>
    <v>ARCX</v>
    <v>1.09E-2</v>
    <v>76.489999999999995</v>
    <v>ETF</v>
    <v>46279.988947187499</v>
    <v>301</v>
    <v>73.94</v>
    <v>180649665.74000001</v>
    <v>Direxion:MSCI EM Bull 3X</v>
    <v>74.84</v>
    <v>81.62</v>
    <v>74.849999999999994</v>
    <v>74.650000000000006</v>
    <v>EDC</v>
    <v>Direxion:MSCI EM Bull 3X (ARCX:EDC)</v>
    <v>56444</v>
    <v>79822</v>
  </rv>
  <rv s="2">
    <v>302</v>
  </rv>
  <rv s="0">
    <v>https://www.bing.com/financeapi/forcetrigger?t=a24cdm&amp;q=ARCX%3aTNA&amp;form=skydnc</v>
    <v>Learn more on Bing</v>
  </rv>
  <rv s="1">
    <v>en-US</v>
    <v>a24cdm</v>
    <v>268435456</v>
    <v>1</v>
    <v>Powered by Refinitiv</v>
    <v>0</v>
    <v>Direxion:Sm Cap Bull 3X (ARCX:TNA)</v>
    <v>2</v>
    <v>3</v>
    <v>Finance</v>
    <v>4</v>
    <v>77.234999999999999</v>
    <v>37.03</v>
    <v>3.0085999999999999</v>
    <v>-0.7</v>
    <v>1.248E-3</v>
    <v>-1.0801E-2</v>
    <v>0.08</v>
    <v>USD</v>
    <v>NYSE Arca</v>
    <v>ARCX</v>
    <v>1.0500000000000001E-2</v>
    <v>65.42</v>
    <v>ETF</v>
    <v>46279.989727407032</v>
    <v>304</v>
    <v>63.56</v>
    <v>1208858664.6900001</v>
    <v>Direxion:Sm Cap Bull 3X</v>
    <v>63.84</v>
    <v>64.81</v>
    <v>64.11</v>
    <v>64.16</v>
    <v>TNA</v>
    <v>Direxion:Sm Cap Bull 3X (ARCX:TNA)</v>
    <v>3558715</v>
    <v>3156600</v>
  </rv>
  <rv s="2">
    <v>305</v>
  </rv>
  <rv s="3">
    <v>en-US</v>
    <v>ccizzr</v>
    <v>268435456</v>
    <v>1</v>
    <v>Powered by Refinitiv</v>
    <v>6</v>
    <v>ROUNDHILL DAILY 2X LONG MGNT ETF (BATS:MAGX)</v>
    <v>7</v>
    <v>8</v>
    <v>Finance</v>
    <v>13</v>
    <v>63.469900000000003</v>
    <v>38.72</v>
    <v>0.36</v>
    <v>5.0790000000000004E-4</v>
    <v>6.1319999999999994E-3</v>
    <v>0.03</v>
    <v>USD</v>
    <v>CBOE BZX Exchange</v>
    <v>BATS</v>
    <v>9.4999999999999998E-3</v>
    <v>59.686</v>
    <v>ETF</v>
    <v>46279.979181017967</v>
    <v>57.72</v>
    <v>63269572.159999996</v>
    <v>ROUNDHILL DAILY 2X LONG MGNT ETF</v>
    <v>58.27</v>
    <v>58.71</v>
    <v>59.07</v>
    <v>59.1</v>
    <v>MAGX</v>
    <v>ROUNDHILL DAILY 2X LONG MGNT ETF (BATS:MAGX)</v>
    <v>26198</v>
    <v>40332</v>
  </rv>
  <rv s="2">
    <v>307</v>
  </rv>
  <rv s="0">
    <v>https://www.bing.com/financeapi/forcetrigger?t=a1xmgh&amp;q=ARCX%3aMIDU&amp;form=skydnc</v>
    <v>Learn more on Bing</v>
  </rv>
  <rv s="1">
    <v>en-US</v>
    <v>a1xmgh</v>
    <v>268435456</v>
    <v>1</v>
    <v>Powered by Refinitiv</v>
    <v>0</v>
    <v>Direxion:MidCapBull 3X (ARCX:MIDU)</v>
    <v>2</v>
    <v>3</v>
    <v>Finance</v>
    <v>5</v>
    <v>77.882499999999993</v>
    <v>42.74</v>
    <v>3.0305</v>
    <v>-1.72</v>
    <v>0</v>
    <v>-2.6328000000000001E-2</v>
    <v>0</v>
    <v>USD</v>
    <v>NYSE Arca</v>
    <v>ARCX</v>
    <v>9.7999999999999997E-3</v>
    <v>64.28</v>
    <v>ETF</v>
    <v>46279.979229675781</v>
    <v>309</v>
    <v>63.51</v>
    <v>68113219.670000002</v>
    <v>Direxion:MidCapBull 3X</v>
    <v>63.8</v>
    <v>65.33</v>
    <v>63.61</v>
    <v>63.61</v>
    <v>MIDU</v>
    <v>Direxion:MidCapBull 3X (ARCX:MIDU)</v>
    <v>11606</v>
    <v>14010</v>
  </rv>
  <rv s="2">
    <v>310</v>
  </rv>
  <rv s="0">
    <v>https://www.bing.com/financeapi/forcetrigger?t=a24g52&amp;q=XNAS%3aTQQQ&amp;form=skydnc</v>
    <v>Learn more on Bing</v>
  </rv>
  <rv s="1">
    <v>en-US</v>
    <v>a24g52</v>
    <v>268435456</v>
    <v>1</v>
    <v>Powered by Refinitiv</v>
    <v>0</v>
    <v>ProShares:UltP QQQ (XNAS:TQQQ)</v>
    <v>2</v>
    <v>3</v>
    <v>Finance</v>
    <v>4</v>
    <v>88.09</v>
    <v>37.32</v>
    <v>3.0880000000000001</v>
    <v>-1.71</v>
    <v>7.2179999999999998E-4</v>
    <v>-2.4091000000000001E-2</v>
    <v>0.05</v>
    <v>USD</v>
    <v>Nasdaq Stock Market</v>
    <v>XNAS</v>
    <v>7.8000000000000005E-3</v>
    <v>70.39</v>
    <v>ETF</v>
    <v>46279.996690196094</v>
    <v>312</v>
    <v>67.34</v>
    <v>36114245808.209999</v>
    <v>ProShares:UltP QQQ</v>
    <v>67.528999999999996</v>
    <v>70.98</v>
    <v>69.27</v>
    <v>69.319999999999993</v>
    <v>TQQQ</v>
    <v>ProShares:UltP QQQ (XNAS:TQQQ)</v>
    <v>49898542</v>
    <v>47488452</v>
  </rv>
  <rv s="2">
    <v>313</v>
  </rv>
  <rv s="0">
    <v>https://www.bing.com/financeapi/forcetrigger?t=a23h6h&amp;q=ARCX%3aSPXL&amp;form=skydnc</v>
    <v>Learn more on Bing</v>
  </rv>
  <rv s="1">
    <v>en-US</v>
    <v>a23h6h</v>
    <v>268435456</v>
    <v>1</v>
    <v>Powered by Refinitiv</v>
    <v>0</v>
    <v>Direxion:S&amp;P 500 Bull 3X (ARCX:SPXL)</v>
    <v>2</v>
    <v>3</v>
    <v>Finance</v>
    <v>4</v>
    <v>303.18</v>
    <v>168.04</v>
    <v>3.0495999999999999</v>
    <v>-3.79</v>
    <v>1.003E-3</v>
    <v>-1.3395999999999998E-2</v>
    <v>0.28000000000000003</v>
    <v>USD</v>
    <v>NYSE Arca</v>
    <v>ARCX</v>
    <v>8.3999999999999995E-3</v>
    <v>282.02999999999997</v>
    <v>ETF</v>
    <v>46279.994090358596</v>
    <v>315</v>
    <v>275.935</v>
    <v>6966057650.79</v>
    <v>Direxion:S&amp;P 500 Bull 3X</v>
    <v>277.07</v>
    <v>282.93</v>
    <v>279.14</v>
    <v>279.38</v>
    <v>SPXL</v>
    <v>Direxion:S&amp;P 500 Bull 3X (ARCX:SPXL)</v>
    <v>1808851</v>
    <v>1380582</v>
  </rv>
  <rv s="2">
    <v>316</v>
  </rv>
  <rv s="0">
    <v>https://www.bing.com/financeapi/forcetrigger?t=a24tcw&amp;q=ARCX%3aUDOW&amp;form=skydnc</v>
    <v>Learn more on Bing</v>
  </rv>
  <rv s="1">
    <v>en-US</v>
    <v>a24tcw</v>
    <v>268435456</v>
    <v>1</v>
    <v>Powered by Refinitiv</v>
    <v>0</v>
    <v>ProShares:UltP Dow30 (ARCX:UDOW)</v>
    <v>2</v>
    <v>3</v>
    <v>Finance</v>
    <v>4</v>
    <v>79.261899999999997</v>
    <v>46.25</v>
    <v>2.8910999999999998</v>
    <v>-0.53</v>
    <v>1.0369999999999999E-3</v>
    <v>-7.6020000000000003E-3</v>
    <v>7.17E-2</v>
    <v>USD</v>
    <v>NYSE Arca</v>
    <v>ARCX</v>
    <v>9.3999999999999986E-3</v>
    <v>70.03</v>
    <v>ETF</v>
    <v>46279.99552954844</v>
    <v>318</v>
    <v>68.59</v>
    <v>864502726.16999996</v>
    <v>ProShares:UltP Dow30</v>
    <v>69.174999999999997</v>
    <v>69.72</v>
    <v>69.19</v>
    <v>69.241699999999994</v>
    <v>UDOW</v>
    <v>ProShares:UltP Dow30 (ARCX:UDOW)</v>
    <v>951398</v>
    <v>1434126</v>
  </rv>
  <rv s="2">
    <v>319</v>
  </rv>
  <rv s="0">
    <v>https://www.bing.com/financeapi/forcetrigger?t=a1qe8m&amp;q=ARCX%3aCSD&amp;form=skydnc</v>
    <v>Learn more on Bing</v>
  </rv>
  <rv s="1">
    <v>en-US</v>
    <v>a1qe8m</v>
    <v>268435456</v>
    <v>1</v>
    <v>Powered by Refinitiv</v>
    <v>0</v>
    <v>Invesco S&amp;P Spin-Off (ARCX:CSD)</v>
    <v>2</v>
    <v>3</v>
    <v>Finance</v>
    <v>5</v>
    <v>150.42500000000001</v>
    <v>90.07</v>
    <v>1.2269000000000001</v>
    <v>-2.3733</v>
    <v>0</v>
    <v>-1.8327E-2</v>
    <v>0</v>
    <v>USD</v>
    <v>NYSE Arca</v>
    <v>ARCX</v>
    <v>6.5000000000000006E-3</v>
    <v>128.06</v>
    <v>ETF</v>
    <v>46279.979183981253</v>
    <v>321</v>
    <v>126.93</v>
    <v>223162414</v>
    <v>Invesco S&amp;P Spin-Off</v>
    <v>128.06</v>
    <v>129.499</v>
    <v>127.12569999999999</v>
    <v>127.12569999999999</v>
    <v>CSD</v>
    <v>Invesco S&amp;P Spin-Off (ARCX:CSD)</v>
    <v>9301</v>
    <v>9210</v>
  </rv>
  <rv s="2">
    <v>322</v>
  </rv>
  <rv s="0">
    <v>https://www.bing.com/financeapi/forcetrigger?t=a1vpoc&amp;q=ARCX%3aIPO&amp;form=skydnc</v>
    <v>Learn more on Bing</v>
  </rv>
  <rv s="1">
    <v>en-US</v>
    <v>a1vpoc</v>
    <v>268435456</v>
    <v>1</v>
    <v>Powered by Refinitiv</v>
    <v>0</v>
    <v>RENAISSANCE IPO ETF (ARCX:IPO)</v>
    <v>2</v>
    <v>3</v>
    <v>Finance</v>
    <v>5</v>
    <v>60.33</v>
    <v>39.305</v>
    <v>1.2678</v>
    <v>-0.56999999999999995</v>
    <v>0</v>
    <v>-1.0893999999999999E-2</v>
    <v>0</v>
    <v>USD</v>
    <v>NYSE Arca</v>
    <v>ARCX</v>
    <v>6.0000000000000001E-3</v>
    <v>52.018000000000001</v>
    <v>ETF</v>
    <v>46279.979197013279</v>
    <v>324</v>
    <v>51.21</v>
    <v>146569204.21000001</v>
    <v>RENAISSANCE IPO ETF</v>
    <v>51.21</v>
    <v>52.32</v>
    <v>51.75</v>
    <v>51.75</v>
    <v>IPO</v>
    <v>RENAISSANCE IPO ETF (ARCX:IPO)</v>
    <v>19453</v>
    <v>17325</v>
  </rv>
  <rv s="2">
    <v>325</v>
  </rv>
  <rv s="0">
    <v>https://www.bing.com/financeapi/forcetrigger?t=a21ch7&amp;q=ARCX%3aPSP&amp;form=skydnc</v>
    <v>Learn more on Bing</v>
  </rv>
  <rv s="1">
    <v>en-US</v>
    <v>a21ch7</v>
    <v>268435456</v>
    <v>1</v>
    <v>Powered by Refinitiv</v>
    <v>0</v>
    <v>Invesco Gl Lst Pr Eq (ARCX:PSP)</v>
    <v>2</v>
    <v>3</v>
    <v>Finance</v>
    <v>5</v>
    <v>72.896199999999993</v>
    <v>54.12</v>
    <v>1.2499</v>
    <v>-0.22339999999999999</v>
    <v>0</v>
    <v>-3.7099999999999998E-3</v>
    <v>0</v>
    <v>USD</v>
    <v>NYSE Arca</v>
    <v>ARCX</v>
    <v>6.6E-3</v>
    <v>60.22</v>
    <v>ETF</v>
    <v>46279.979187245313</v>
    <v>327</v>
    <v>59.630099999999999</v>
    <v>248328378.55000001</v>
    <v>Invesco Gl Lst Pr Eq</v>
    <v>60.12</v>
    <v>60.220399999999998</v>
    <v>59.997</v>
    <v>59.997</v>
    <v>PSP</v>
    <v>Invesco Gl Lst Pr Eq (ARCX:PSP)</v>
    <v>19951</v>
    <v>22973</v>
  </rv>
  <rv s="2">
    <v>328</v>
  </rv>
  <rv s="0">
    <v>https://www.bing.com/financeapi/forcetrigger?t=a1uclh&amp;q=ARCX%3aGURU&amp;form=skydnc</v>
    <v>Learn more on Bing</v>
  </rv>
  <rv s="1">
    <v>en-US</v>
    <v>a1uclh</v>
    <v>268435456</v>
    <v>1</v>
    <v>Powered by Refinitiv</v>
    <v>0</v>
    <v>GLOBAL X GURU INDEX ETF (ARCX:GURU)</v>
    <v>2</v>
    <v>3</v>
    <v>Finance</v>
    <v>5</v>
    <v>71.08</v>
    <v>56.959400000000002</v>
    <v>0.67100000000000004</v>
    <v>-0.63870000000000005</v>
    <v>0</v>
    <v>-9.2500000000000013E-3</v>
    <v>0</v>
    <v>USD</v>
    <v>NYSE Arca</v>
    <v>ARCX</v>
    <v>7.4999999999999997E-3</v>
    <v>68.72</v>
    <v>ETF</v>
    <v>46279.979229293749</v>
    <v>330</v>
    <v>68.239999999999995</v>
    <v>62638784.719999999</v>
    <v>GLOBAL X GURU INDEX ETF</v>
    <v>68.239999999999995</v>
    <v>69.050799999999995</v>
    <v>68.412099999999995</v>
    <v>68.412099999999995</v>
    <v>GURU</v>
    <v>GLOBAL X GURU INDEX ETF (ARCX:GURU)</v>
    <v>615</v>
    <v>1693</v>
  </rv>
  <rv s="2">
    <v>331</v>
  </rv>
  <rv s="0">
    <v>https://www.bing.com/financeapi/forcetrigger?t=a1x43m&amp;q=ARCX%3aLQD&amp;form=skydnc</v>
    <v>Learn more on Bing</v>
  </rv>
  <rv s="1">
    <v>en-US</v>
    <v>a1x43m</v>
    <v>268435456</v>
    <v>1</v>
    <v>Powered by Refinitiv</v>
    <v>0</v>
    <v>iShares:iBoxx $IG Corp (ARCX:LQD)</v>
    <v>2</v>
    <v>3</v>
    <v>Finance</v>
    <v>5</v>
    <v>112.93</v>
    <v>104.05</v>
    <v>1.2594000000000001</v>
    <v>-0.02</v>
    <v>0</v>
    <v>-1.917E-4</v>
    <v>0</v>
    <v>USD</v>
    <v>NYSE Arca</v>
    <v>ARCX</v>
    <v>1.4000000000000002E-3</v>
    <v>104.65</v>
    <v>ETF</v>
    <v>46279.979180462498</v>
    <v>333</v>
    <v>104.05</v>
    <v>32042812350.82</v>
    <v>iShares:iBoxx $IG Corp</v>
    <v>104.25</v>
    <v>104.32</v>
    <v>104.3</v>
    <v>104.3</v>
    <v>LQD</v>
    <v>iShares:iBoxx $IG Corp (ARCX:LQD)</v>
    <v>30889377</v>
    <v>26656929</v>
  </rv>
  <rv s="2">
    <v>334</v>
  </rv>
  <rv s="0">
    <v>https://www.bing.com/financeapi/forcetrigger?t=a1zqqh&amp;q=XNAS%3aPFF&amp;form=skydnc</v>
    <v>Learn more on Bing</v>
  </rv>
  <rv s="1">
    <v>en-US</v>
    <v>a1zqqh</v>
    <v>268435456</v>
    <v>1</v>
    <v>Powered by Refinitiv</v>
    <v>0</v>
    <v>iShares:Pref and Inc Sec (XNAS:PFF)</v>
    <v>2</v>
    <v>3</v>
    <v>Finance</v>
    <v>5</v>
    <v>32.264499999999998</v>
    <v>29.92</v>
    <v>1.3601000000000001</v>
    <v>-0.21</v>
    <v>1.5900000000000001E-3</v>
    <v>-6.9649999999999998E-3</v>
    <v>4.7600000000000003E-2</v>
    <v>USD</v>
    <v>Nasdaq Stock Market</v>
    <v>XNAS</v>
    <v>4.5000000000000005E-3</v>
    <v>30.099699999999999</v>
    <v>ETF</v>
    <v>46279.979178981252</v>
    <v>336</v>
    <v>29.92</v>
    <v>13016098212.65</v>
    <v>iShares:Pref and Inc Sec</v>
    <v>30.01</v>
    <v>30.15</v>
    <v>29.94</v>
    <v>29.9876</v>
    <v>PFF</v>
    <v>iShares:Pref and Inc Sec (XNAS:PFF)</v>
    <v>2597516</v>
    <v>2349133</v>
  </rv>
  <rv s="2">
    <v>337</v>
  </rv>
  <rv s="0">
    <v>https://www.bing.com/financeapi/forcetrigger?t=a1y4u2&amp;q=ARCX%3aMUB&amp;form=skydnc</v>
    <v>Learn more on Bing</v>
  </rv>
  <rv s="1">
    <v>en-US</v>
    <v>a1y4u2</v>
    <v>268435456</v>
    <v>1</v>
    <v>Powered by Refinitiv</v>
    <v>0</v>
    <v>iShares:Natl Muni Bond (ARCX:MUB)</v>
    <v>2</v>
    <v>3</v>
    <v>Finance</v>
    <v>5</v>
    <v>109</v>
    <v>102.65</v>
    <v>0.90990000000000004</v>
    <v>-0.06</v>
    <v>-9.6979999999999994E-4</v>
    <v>-5.8160000000000004E-4</v>
    <v>-0.1</v>
    <v>USD</v>
    <v>NYSE Arca</v>
    <v>ARCX</v>
    <v>5.0000000000000001E-4</v>
    <v>103.28</v>
    <v>ETF</v>
    <v>46279.979176110937</v>
    <v>339</v>
    <v>102.96</v>
    <v>45378340357.190002</v>
    <v>iShares:Natl Muni Bond</v>
    <v>103.16</v>
    <v>103.17</v>
    <v>103.11</v>
    <v>103.01</v>
    <v>MUB</v>
    <v>iShares:Natl Muni Bond (ARCX:MUB)</v>
    <v>12509036</v>
    <v>6421449</v>
  </rv>
  <rv s="2">
    <v>340</v>
  </rv>
  <rv s="0">
    <v>https://www.bing.com/financeapi/forcetrigger?t=a1rvsm&amp;q=XNAS%3aEMB&amp;form=skydnc</v>
    <v>Learn more on Bing</v>
  </rv>
  <rv s="1">
    <v>en-US</v>
    <v>a1rvsm</v>
    <v>268435456</v>
    <v>1</v>
    <v>Powered by Refinitiv</v>
    <v>0</v>
    <v>iShares:JPM USD EM Bd (XNAS:EMB)</v>
    <v>2</v>
    <v>3</v>
    <v>Finance</v>
    <v>5</v>
    <v>97.8</v>
    <v>92.87</v>
    <v>0.96209999999999996</v>
    <v>-0.12</v>
    <v>-1.0730000000000002E-3</v>
    <v>-1.2859999999999998E-3</v>
    <v>-0.1</v>
    <v>USD</v>
    <v>Nasdaq Stock Market</v>
    <v>XNAS</v>
    <v>3.9000000000000003E-3</v>
    <v>93.429900000000004</v>
    <v>ETF</v>
    <v>46279.979241260939</v>
    <v>342</v>
    <v>92.94</v>
    <v>14916531295.49</v>
    <v>iShares:JPM USD EM Bd</v>
    <v>93.13</v>
    <v>93.34</v>
    <v>93.22</v>
    <v>93.12</v>
    <v>EMB</v>
    <v>iShares:JPM USD EM Bd (XNAS:EMB)</v>
    <v>8971910</v>
    <v>5551759</v>
  </rv>
  <rv s="2">
    <v>343</v>
  </rv>
  <rv s="0">
    <v>https://www.bing.com/financeapi/forcetrigger?t=a1oovh&amp;q=XNAS%3aBNDX&amp;form=skydnc</v>
    <v>Learn more on Bing</v>
  </rv>
  <rv s="1">
    <v>en-US</v>
    <v>a1oovh</v>
    <v>268435456</v>
    <v>1</v>
    <v>Powered by Refinitiv</v>
    <v>0</v>
    <v>VANGUARD TOTAL INTERNATIONAL BND ETF (XNAS:BNDX)</v>
    <v>2</v>
    <v>3</v>
    <v>Finance</v>
    <v>5</v>
    <v>49.93</v>
    <v>46.852800000000002</v>
    <v>0.66110000000000002</v>
    <v>-0.06</v>
    <v>-2.7700000000000003E-3</v>
    <v>-1.2770000000000001E-3</v>
    <v>-0.13</v>
    <v>USD</v>
    <v>Nasdaq Stock Market</v>
    <v>XNAS</v>
    <v>7.000000000000001E-4</v>
    <v>47.009900000000002</v>
    <v>ETF</v>
    <v>46279.985186874997</v>
    <v>345</v>
    <v>46.852800000000002</v>
    <v>83437961215</v>
    <v>VANGUARD TOTAL INTERNATIONAL BND ETF</v>
    <v>46.9</v>
    <v>46.99</v>
    <v>46.93</v>
    <v>46.8</v>
    <v>BNDX</v>
    <v>VANGUARD TOTAL INTERNATIONAL BND ETF (XNAS:BNDX)</v>
    <v>5089302</v>
    <v>4104671</v>
  </rv>
  <rv s="2">
    <v>346</v>
  </rv>
  <rv s="0">
    <v>https://www.bing.com/financeapi/forcetrigger?t=a24akr&amp;q=ARCX%3aTLH&amp;form=skydnc</v>
    <v>Learn more on Bing</v>
  </rv>
  <rv s="1">
    <v>en-US</v>
    <v>a24akr</v>
    <v>268435456</v>
    <v>1</v>
    <v>Powered by Refinitiv</v>
    <v>0</v>
    <v>iShares:10-20 Trs Bd ETF (ARCX:TLH)</v>
    <v>2</v>
    <v>3</v>
    <v>Finance</v>
    <v>4</v>
    <v>105.465</v>
    <v>94.614999999999995</v>
    <v>0.90949999999999998</v>
    <v>3.5000000000000003E-2</v>
    <v>5.9979999999999999E-3</v>
    <v>3.6839999999999996E-4</v>
    <v>0.56999999999999995</v>
    <v>USD</v>
    <v>NYSE Arca</v>
    <v>ARCX</v>
    <v>1.5E-3</v>
    <v>95.465000000000003</v>
    <v>ETF</v>
    <v>46279.9955873375</v>
    <v>348</v>
    <v>94.614999999999995</v>
    <v>11032894231.58</v>
    <v>iShares:10-20 Trs Bd ETF</v>
    <v>94.91</v>
    <v>95.01</v>
    <v>95.045000000000002</v>
    <v>95.6</v>
    <v>TLH</v>
    <v>iShares:10-20 Trs Bd ETF (ARCX:TLH)</v>
    <v>1506225</v>
    <v>1179211</v>
  </rv>
  <rv s="2">
    <v>349</v>
  </rv>
  <rv s="0">
    <v>https://www.bing.com/financeapi/forcetrigger?t=a2491h&amp;q=ARCX%3aTIP&amp;form=skydnc</v>
    <v>Learn more on Bing</v>
  </rv>
  <rv s="1">
    <v>en-US</v>
    <v>a2491h</v>
    <v>268435456</v>
    <v>1</v>
    <v>Powered by Refinitiv</v>
    <v>0</v>
    <v>iShares:TIPS Bd ETF (ARCX:TIP)</v>
    <v>2</v>
    <v>3</v>
    <v>Finance</v>
    <v>4</v>
    <v>112.26</v>
    <v>105.77500000000001</v>
    <v>0.97460000000000002</v>
    <v>-0.01</v>
    <v>3.0049999999999999E-4</v>
    <v>-9.4480000000000003E-5</v>
    <v>3.1800000000000002E-2</v>
    <v>USD</v>
    <v>NYSE Arca</v>
    <v>ARCX</v>
    <v>1.8E-3</v>
    <v>106.155</v>
    <v>ETF</v>
    <v>46279.992492372658</v>
    <v>351</v>
    <v>105.77500000000001</v>
    <v>15010082391.01</v>
    <v>iShares:TIPS Bd ETF</v>
    <v>105.95</v>
    <v>105.84</v>
    <v>105.83</v>
    <v>105.8518</v>
    <v>TIP</v>
    <v>iShares:TIPS Bd ETF (ARCX:TIP)</v>
    <v>2190356</v>
    <v>1716370</v>
  </rv>
  <rv s="2">
    <v>352</v>
  </rv>
  <rv s="0">
    <v>https://www.bing.com/financeapi/forcetrigger?t=a1n26h&amp;q=ARCX%3aAGG&amp;form=skydnc</v>
    <v>Learn more on Bing</v>
  </rv>
  <rv s="1">
    <v>en-US</v>
    <v>a1n26h</v>
    <v>268435456</v>
    <v>1</v>
    <v>Powered by Refinitiv</v>
    <v>0</v>
    <v>iShares:Core US Agg Bd (ARCX:AGG)</v>
    <v>2</v>
    <v>3</v>
    <v>Finance</v>
    <v>5</v>
    <v>101.45569999999999</v>
    <v>95.724999999999994</v>
    <v>0.99139999999999995</v>
    <v>-0.09</v>
    <v>0</v>
    <v>-9.3770000000000008E-4</v>
    <v>0</v>
    <v>USD</v>
    <v>NYSE Arca</v>
    <v>ARCX</v>
    <v>2.9999999999999997E-4</v>
    <v>96.155000000000001</v>
    <v>ETF</v>
    <v>46279.979178378904</v>
    <v>354</v>
    <v>95.724999999999994</v>
    <v>138317871958.14999</v>
    <v>iShares:Core US Agg Bd</v>
    <v>95.88</v>
    <v>95.98</v>
    <v>95.89</v>
    <v>95.89</v>
    <v>AGG</v>
    <v>iShares:Core US Agg Bd (ARCX:AGG)</v>
    <v>15495465</v>
    <v>7773299</v>
  </rv>
  <rv s="2">
    <v>355</v>
  </rv>
  <rv s="0">
    <v>https://www.bing.com/financeapi/forcetrigger?t=a1vbh7&amp;q=XNAS%3aIEI&amp;form=skydnc</v>
    <v>Learn more on Bing</v>
  </rv>
  <rv s="1">
    <v>en-US</v>
    <v>a1vbh7</v>
    <v>268435456</v>
    <v>1</v>
    <v>Powered by Refinitiv</v>
    <v>0</v>
    <v>iShares:3-7 Trs Bd (XNAS:IEI)</v>
    <v>2</v>
    <v>3</v>
    <v>Finance</v>
    <v>4</v>
    <v>120.7799</v>
    <v>114.3276</v>
    <v>1.2334000000000001</v>
    <v>-0.1</v>
    <v>3.3459999999999995E-4</v>
    <v>-8.7300000000000008E-4</v>
    <v>3.8300000000000001E-2</v>
    <v>USD</v>
    <v>Nasdaq Stock Market</v>
    <v>XNAS</v>
    <v>1.5E-3</v>
    <v>114.735</v>
    <v>ETF</v>
    <v>46279.996111539062</v>
    <v>357</v>
    <v>114.3276</v>
    <v>17675773210.990002</v>
    <v>iShares:3-7 Trs Bd</v>
    <v>114.47</v>
    <v>114.55</v>
    <v>114.45</v>
    <v>114.4883</v>
    <v>IEI</v>
    <v>iShares:3-7 Trs Bd (XNAS:IEI)</v>
    <v>2215719</v>
    <v>1230241</v>
  </rv>
  <rv s="2">
    <v>358</v>
  </rv>
  <rv s="0">
    <v>https://www.bing.com/financeapi/forcetrigger?t=a24b5r&amp;q=XNAS%3aTLT&amp;form=skydnc</v>
    <v>Learn more on Bing</v>
  </rv>
  <rv s="1">
    <v>en-US</v>
    <v>a24b5r</v>
    <v>268435456</v>
    <v>1</v>
    <v>Powered by Refinitiv</v>
    <v>0</v>
    <v>iShares:20+ Trs Bd ETF (XNAS:TLT)</v>
    <v>2</v>
    <v>3</v>
    <v>Finance</v>
    <v>4</v>
    <v>92.185000000000002</v>
    <v>80.459999999999994</v>
    <v>1.1068</v>
    <v>0.06</v>
    <v>0</v>
    <v>7.4190000000000009E-4</v>
    <v>0</v>
    <v>USD</v>
    <v>Nasdaq Stock Market</v>
    <v>XNAS</v>
    <v>1.5E-3</v>
    <v>81.355000000000004</v>
    <v>ETF</v>
    <v>46279.996485693751</v>
    <v>360</v>
    <v>80.459999999999994</v>
    <v>47046327933.959999</v>
    <v>iShares:20+ Trs Bd ETF</v>
    <v>80.819999999999993</v>
    <v>80.87</v>
    <v>80.930000000000007</v>
    <v>80.930000000000007</v>
    <v>TLT</v>
    <v>iShares:20+ Trs Bd ETF (XNAS:TLT)</v>
    <v>33740073</v>
    <v>32569112</v>
  </rv>
  <rv s="2">
    <v>361</v>
  </rv>
  <rv s="0">
    <v>https://www.bing.com/financeapi/forcetrigger?t=a1u477&amp;q=BATS%3aGOVT&amp;form=skydnc</v>
    <v>Learn more on Bing</v>
  </rv>
  <rv s="1">
    <v>en-US</v>
    <v>a1u477</v>
    <v>268435456</v>
    <v>1</v>
    <v>Powered by Refinitiv</v>
    <v>0</v>
    <v>ISHARES US TREASURY BOND ETF (BATS:GOVT)</v>
    <v>2</v>
    <v>3</v>
    <v>Finance</v>
    <v>13</v>
    <v>23.39</v>
    <v>22.1</v>
    <v>0.91449999999999998</v>
    <v>-0.01</v>
    <v>-2.2579999999999999E-4</v>
    <v>-4.5150000000000002E-4</v>
    <v>-5.0000000000000001E-3</v>
    <v>USD</v>
    <v>CBOE BZX Exchange</v>
    <v>BATS</v>
    <v>5.0000000000000001E-4</v>
    <v>22.2</v>
    <v>ETF</v>
    <v>46279.979194918749</v>
    <v>363</v>
    <v>22.1</v>
    <v>41821910102.300003</v>
    <v>ISHARES US TREASURY BOND ETF</v>
    <v>22.13</v>
    <v>22.15</v>
    <v>22.14</v>
    <v>22.135000000000002</v>
    <v>GOVT</v>
    <v>ISHARES US TREASURY BOND ETF (BATS:GOVT)</v>
    <v>12012724</v>
    <v>14040437</v>
  </rv>
  <rv s="2">
    <v>364</v>
  </rv>
  <rv s="0">
    <v>https://www.bing.com/financeapi/forcetrigger?t=a22xmw&amp;q=XNAS%3aSHY&amp;form=skydnc</v>
    <v>Learn more on Bing</v>
  </rv>
  <rv s="1">
    <v>en-US</v>
    <v>a22xmw</v>
    <v>268435456</v>
    <v>1</v>
    <v>Powered by Refinitiv</v>
    <v>0</v>
    <v>iShares:1-3 Trs Bd ETF (XNAS:SHY)</v>
    <v>2</v>
    <v>3</v>
    <v>Finance</v>
    <v>5</v>
    <v>83.2</v>
    <v>81.3</v>
    <v>1.0239</v>
    <v>-0.03</v>
    <v>-4.9180000000000003E-4</v>
    <v>-3.6870000000000002E-4</v>
    <v>-0.04</v>
    <v>USD</v>
    <v>Nasdaq Stock Market</v>
    <v>XNAS</v>
    <v>1.5E-3</v>
    <v>81.42</v>
    <v>ETF</v>
    <v>46279.97919694375</v>
    <v>366</v>
    <v>81.3</v>
    <v>25913065081.02</v>
    <v>iShares:1-3 Trs Bd ETF</v>
    <v>81.349999999999994</v>
    <v>81.37</v>
    <v>81.34</v>
    <v>81.3</v>
    <v>SHY</v>
    <v>iShares:1-3 Trs Bd ETF (XNAS:SHY)</v>
    <v>4593011</v>
    <v>3652328</v>
  </rv>
  <rv s="2">
    <v>367</v>
  </rv>
  <rv s="0">
    <v>https://www.bing.com/financeapi/forcetrigger?t=a1v1r7&amp;q=ARCX%3aHYG&amp;form=skydnc</v>
    <v>Learn more on Bing</v>
  </rv>
  <rv s="1">
    <v>en-US</v>
    <v>a1v1r7</v>
    <v>268435456</v>
    <v>1</v>
    <v>Powered by Refinitiv</v>
    <v>0</v>
    <v>iShares:iBoxx $HY Corp (ARCX:HYG)</v>
    <v>2</v>
    <v>3</v>
    <v>Finance</v>
    <v>5</v>
    <v>81.36</v>
    <v>78.41</v>
    <v>1.0327999999999999</v>
    <v>-7.0000000000000007E-2</v>
    <v>1.273E-4</v>
    <v>-8.9059999999999996E-4</v>
    <v>0.01</v>
    <v>USD</v>
    <v>NYSE Arca</v>
    <v>ARCX</v>
    <v>4.8999999999999998E-3</v>
    <v>78.64</v>
    <v>ETF</v>
    <v>46279.979176805471</v>
    <v>369</v>
    <v>78.41</v>
    <v>16186193407.530001</v>
    <v>iShares:iBoxx $HY Corp</v>
    <v>78.55</v>
    <v>78.599999999999994</v>
    <v>78.53</v>
    <v>78.540000000000006</v>
    <v>HYG</v>
    <v>iShares:iBoxx $HY Corp (ARCX:HYG)</v>
    <v>44071666</v>
    <v>31177646</v>
  </rv>
  <rv s="2">
    <v>370</v>
  </rv>
  <rv s="0">
    <v>https://www.bing.com/financeapi/forcetrigger?t=a1ve9c&amp;q=XNAS%3aIGOV&amp;form=skydnc</v>
    <v>Learn more on Bing</v>
  </rv>
  <rv s="1">
    <v>en-US</v>
    <v>a1ve9c</v>
    <v>268435456</v>
    <v>1</v>
    <v>Powered by Refinitiv</v>
    <v>0</v>
    <v>iShares:Itl Trs Bd (XNAS:IGOV)</v>
    <v>2</v>
    <v>3</v>
    <v>Finance</v>
    <v>5</v>
    <v>43.39</v>
    <v>40.270000000000003</v>
    <v>0.96279999999999999</v>
    <v>-0.2</v>
    <v>0</v>
    <v>-4.888E-3</v>
    <v>0</v>
    <v>USD</v>
    <v>Nasdaq Stock Market</v>
    <v>XNAS</v>
    <v>3.4999999999999996E-3</v>
    <v>40.853000000000002</v>
    <v>ETF</v>
    <v>46279.979197128909</v>
    <v>372</v>
    <v>40.5</v>
    <v>1546595685.27</v>
    <v>iShares:Itl Trs Bd</v>
    <v>40.51</v>
    <v>40.92</v>
    <v>40.72</v>
    <v>40.72</v>
    <v>IGOV</v>
    <v>iShares:Itl Trs Bd (XNAS:IGOV)</v>
    <v>124708</v>
    <v>123135</v>
  </rv>
  <rv s="2">
    <v>373</v>
  </rv>
  <rv s="0">
    <v>https://www.bing.com/financeapi/forcetrigger?t=a1okbh&amp;q=ARCX%3aBKLN&amp;form=skydnc</v>
    <v>Learn more on Bing</v>
  </rv>
  <rv s="1">
    <v>en-US</v>
    <v>a1okbh</v>
    <v>268435456</v>
    <v>1</v>
    <v>Powered by Refinitiv</v>
    <v>0</v>
    <v>Invesco Senior Loan (ARCX:BKLN)</v>
    <v>2</v>
    <v>3</v>
    <v>Finance</v>
    <v>5</v>
    <v>21.07</v>
    <v>20.11</v>
    <v>0.21990000000000001</v>
    <v>0.02</v>
    <v>4.8520000000000003E-4</v>
    <v>9.7129999999999992E-4</v>
    <v>0.01</v>
    <v>USD</v>
    <v>NYSE Arca</v>
    <v>ARCX</v>
    <v>6.5000000000000006E-3</v>
    <v>20.64</v>
    <v>ETF</v>
    <v>46279.979177001565</v>
    <v>375</v>
    <v>20.58</v>
    <v>6743007940.54</v>
    <v>Invesco Senior Loan</v>
    <v>20.59</v>
    <v>20.59</v>
    <v>20.61</v>
    <v>20.62</v>
    <v>BKLN</v>
    <v>Invesco Senior Loan (ARCX:BKLN)</v>
    <v>10080657</v>
    <v>6843743</v>
  </rv>
  <rv s="2">
    <v>376</v>
  </rv>
  <rv s="0">
    <v>https://www.bing.com/financeapi/forcetrigger?t=a26hk2&amp;q=ARCX%3aZROZ&amp;form=skydnc</v>
    <v>Learn more on Bing</v>
  </rv>
  <rv s="1">
    <v>en-US</v>
    <v>a26hk2</v>
    <v>268435456</v>
    <v>1</v>
    <v>Powered by Refinitiv</v>
    <v>0</v>
    <v>PIMCO ETF:25+ Yr US Tres (ARCX:ZROZ)</v>
    <v>2</v>
    <v>3</v>
    <v>Finance</v>
    <v>4</v>
    <v>71.215000000000003</v>
    <v>56.8</v>
    <v>1.6863999999999999</v>
    <v>0.18</v>
    <v>2.7700000000000003E-3</v>
    <v>3.114E-3</v>
    <v>0.16070000000000001</v>
    <v>USD</v>
    <v>NYSE Arca</v>
    <v>ARCX</v>
    <v>1.5E-3</v>
    <v>58.36</v>
    <v>ETF</v>
    <v>46279.994577349222</v>
    <v>378</v>
    <v>57.28</v>
    <v>1635884914.0999999</v>
    <v>PIMCO ETF:25+ Yr US Tres</v>
    <v>57.73</v>
    <v>57.8</v>
    <v>57.98</v>
    <v>58.180700000000002</v>
    <v>ZROZ</v>
    <v>PIMCO ETF:25+ Yr US Tres (ARCX:ZROZ)</v>
    <v>976464</v>
    <v>866493</v>
  </rv>
  <rv s="2">
    <v>379</v>
  </rv>
  <rv s="0">
    <v>https://www.bing.com/financeapi/forcetrigger?t=a24yz2&amp;q=ARCX%3aURA&amp;form=skydnc</v>
    <v>Learn more on Bing</v>
  </rv>
  <rv s="1">
    <v>en-US</v>
    <v>a24yz2</v>
    <v>268435456</v>
    <v>1</v>
    <v>Powered by Refinitiv</v>
    <v>0</v>
    <v>Glbl X Uranium ETF (ARCX:URA)</v>
    <v>2</v>
    <v>3</v>
    <v>Finance</v>
    <v>4</v>
    <v>62.28</v>
    <v>37.18</v>
    <v>0.77139999999999997</v>
    <v>-1.35</v>
    <v>4.9769999999999997E-3</v>
    <v>-3.1013000000000002E-2</v>
    <v>0.21</v>
    <v>USD</v>
    <v>NYSE Arca</v>
    <v>ARCX</v>
    <v>6.8999999999999999E-3</v>
    <v>42.62</v>
    <v>ETF</v>
    <v>46279.996342395316</v>
    <v>381</v>
    <v>41.64</v>
    <v>6418248522.7600002</v>
    <v>Glbl X Uranium ETF</v>
    <v>42.244999999999997</v>
    <v>43.53</v>
    <v>42.18</v>
    <v>42.4</v>
    <v>URA</v>
    <v>Glbl X Uranium ETF (ARCX:URA)</v>
    <v>4206687</v>
    <v>3251432</v>
  </rv>
  <rv s="2">
    <v>382</v>
  </rv>
  <rv s="0">
    <v>https://www.bing.com/financeapi/forcetrigger?t=a214yc&amp;q=ARCX%3aPPLT&amp;form=skydnc</v>
    <v>Learn more on Bing</v>
  </rv>
  <rv s="1">
    <v>en-US</v>
    <v>a214yc</v>
    <v>268435456</v>
    <v>1</v>
    <v>Powered by Refinitiv</v>
    <v>0</v>
    <v>abrdn:Physical Platinum (ARCX:PPLT)</v>
    <v>2</v>
    <v>3</v>
    <v>Finance</v>
    <v>4</v>
    <v>26.161999999999999</v>
    <v>12.321</v>
    <v>1.1309</v>
    <v>-0.36</v>
    <v>0</v>
    <v>-2.214E-2</v>
    <v>0</v>
    <v>USD</v>
    <v>NYSE Arca</v>
    <v>ARCX</v>
    <v>6.0000000000000001E-3</v>
    <v>16.125</v>
    <v>ETF</v>
    <v>46279.990495948441</v>
    <v>384</v>
    <v>15.81</v>
    <v>2298330559.0279999</v>
    <v>abrdn:Physical Platinum</v>
    <v>15.99</v>
    <v>16.260000000000002</v>
    <v>15.9</v>
    <v>15.9</v>
    <v>PPLT</v>
    <v>abrdn:Physical Platinum (ARCX:PPLT)</v>
    <v>2086175</v>
    <v>2734921</v>
  </rv>
  <rv s="2">
    <v>385</v>
  </rv>
  <rv s="0">
    <v>https://www.bing.com/financeapi/forcetrigger?t=a1zgdm&amp;q=ARCX%3aPALL&amp;form=skydnc</v>
    <v>Learn more on Bing</v>
  </rv>
  <rv s="1">
    <v>en-US</v>
    <v>a1zgdm</v>
    <v>268435456</v>
    <v>1</v>
    <v>Powered by Refinitiv</v>
    <v>0</v>
    <v>abrdn:Physical Palladium (ARCX:PALL)</v>
    <v>2</v>
    <v>3</v>
    <v>Finance</v>
    <v>4</v>
    <v>39.481699999999996</v>
    <v>20.77</v>
    <v>0.81989999999999996</v>
    <v>-0.37</v>
    <v>-1.2909999999999998E-3</v>
    <v>-1.5664999999999998E-2</v>
    <v>-0.03</v>
    <v>USD</v>
    <v>NYSE Arca</v>
    <v>ARCX</v>
    <v>6.0000000000000001E-3</v>
    <v>23.545000000000002</v>
    <v>ETF</v>
    <v>46279.994996863279</v>
    <v>387</v>
    <v>23.21</v>
    <v>769060068.67499995</v>
    <v>abrdn:Physical Palladium</v>
    <v>23.5</v>
    <v>23.62</v>
    <v>23.25</v>
    <v>23.2</v>
    <v>PALL</v>
    <v>abrdn:Physical Palladium (ARCX:PALL)</v>
    <v>686946</v>
    <v>999965</v>
  </rv>
  <rv s="2">
    <v>388</v>
  </rv>
  <rv s="0">
    <v>https://www.bing.com/financeapi/forcetrigger?t=a233ur&amp;q=ARCX%3aSLV&amp;form=skydnc</v>
    <v>Learn more on Bing</v>
  </rv>
  <rv s="1">
    <v>en-US</v>
    <v>a233ur</v>
    <v>268435456</v>
    <v>1</v>
    <v>Powered by Refinitiv</v>
    <v>0</v>
    <v>IShares:Silver Trust (ARCX:SLV)</v>
    <v>2</v>
    <v>3</v>
    <v>Finance</v>
    <v>4</v>
    <v>109.83</v>
    <v>37.35</v>
    <v>1.4879</v>
    <v>-1.2749999999999999</v>
    <v>2.6410000000000001E-3</v>
    <v>-2.1937000000000002E-2</v>
    <v>0.15010000000000001</v>
    <v>USD</v>
    <v>NYSE Arca</v>
    <v>ARCX</v>
    <v>5.0000000000000001E-3</v>
    <v>57.68</v>
    <v>ETF</v>
    <v>46279.996668066407</v>
    <v>390</v>
    <v>56.65</v>
    <v>34683149551.379997</v>
    <v>IShares:Silver Trust</v>
    <v>56.84</v>
    <v>58.12</v>
    <v>56.844999999999999</v>
    <v>56.990099999999998</v>
    <v>SLV</v>
    <v>IShares:Silver Trust (ARCX:SLV)</v>
    <v>14181928</v>
    <v>17071659</v>
  </rv>
  <rv s="2">
    <v>391</v>
  </rv>
  <rv s="0">
    <v>https://www.bing.com/financeapi/forcetrigger?t=a1q7rw&amp;q=ARCX%3aCPER&amp;form=skydnc</v>
    <v>Learn more on Bing</v>
  </rv>
  <rv s="1">
    <v>en-US</v>
    <v>a1q7rw</v>
    <v>268435456</v>
    <v>1</v>
    <v>Powered by Refinitiv</v>
    <v>0</v>
    <v>UNITED STATES COPPER INDEX ETF (ARCX:CPER)</v>
    <v>2</v>
    <v>3</v>
    <v>Finance</v>
    <v>4</v>
    <v>41.29</v>
    <v>28.2</v>
    <v>1.0508999999999999</v>
    <v>-0.86</v>
    <v>-7.6320000000000001E-4</v>
    <v>-2.1949999999999997E-2</v>
    <v>-2.92E-2</v>
    <v>USD</v>
    <v>NYSE Arca</v>
    <v>ARCX</v>
    <v>8.8000000000000005E-3</v>
    <v>38.43</v>
    <v>ETF</v>
    <v>46279.995560647658</v>
    <v>393</v>
    <v>38.06</v>
    <v>750299083.77999997</v>
    <v>UNITED STATES COPPER INDEX ETF</v>
    <v>38.229999999999997</v>
    <v>39.18</v>
    <v>38.32</v>
    <v>38.230800000000002</v>
    <v>CPER</v>
    <v>UNITED STATES COPPER INDEX ETF (ARCX:CPER)</v>
    <v>587903</v>
    <v>563456</v>
  </rv>
  <rv s="2">
    <v>394</v>
  </rv>
  <rv s="0">
    <v>https://www.bing.com/financeapi/forcetrigger?t=a268nm&amp;q=ARCX%3aXME&amp;form=skydnc</v>
    <v>Learn more on Bing</v>
  </rv>
  <rv s="1">
    <v>en-US</v>
    <v>a268nm</v>
    <v>268435456</v>
    <v>1</v>
    <v>Powered by Refinitiv</v>
    <v>0</v>
    <v>SS SPDR S&amp;P Metals&amp;Mng (ARCX:XME)</v>
    <v>2</v>
    <v>3</v>
    <v>Finance</v>
    <v>4</v>
    <v>135.6764</v>
    <v>85.63</v>
    <v>0.74909999999999999</v>
    <v>-3.41</v>
    <v>6.9069999999999999E-3</v>
    <v>-3.0009999999999998E-2</v>
    <v>0.76090000000000002</v>
    <v>USD</v>
    <v>NYSE Arca</v>
    <v>ARCX</v>
    <v>3.4999999999999996E-3</v>
    <v>111.55</v>
    <v>ETF</v>
    <v>46279.993964895315</v>
    <v>396</v>
    <v>109.96</v>
    <v>4885382833.1300001</v>
    <v>SS SPDR S&amp;P Metals&amp;Mng</v>
    <v>111.22</v>
    <v>113.63</v>
    <v>110.22</v>
    <v>110.93089999999999</v>
    <v>XME</v>
    <v>SS SPDR S&amp;P Metals&amp;Mng (ARCX:XME)</v>
    <v>1796146</v>
    <v>1882387</v>
  </rv>
  <rv s="2">
    <v>397</v>
  </rv>
  <rv s="0">
    <v>https://www.bing.com/financeapi/forcetrigger?t=a25yoc&amp;q=XNAS%3aWOOD&amp;form=skydnc</v>
    <v>Learn more on Bing</v>
  </rv>
  <rv s="1">
    <v>en-US</v>
    <v>a25yoc</v>
    <v>268435456</v>
    <v>1</v>
    <v>Powered by Refinitiv</v>
    <v>0</v>
    <v>iShares:Gl Timber (XNAS:WOOD)</v>
    <v>2</v>
    <v>3</v>
    <v>Finance</v>
    <v>5</v>
    <v>83.32</v>
    <v>64.53</v>
    <v>0.82169999999999999</v>
    <v>-0.50009999999999999</v>
    <v>8.5540000000000008E-4</v>
    <v>-7.0679999999999996E-3</v>
    <v>6.0100000000000001E-2</v>
    <v>USD</v>
    <v>Nasdaq Stock Market</v>
    <v>XNAS</v>
    <v>4.0000000000000001E-3</v>
    <v>70.66</v>
    <v>ETF</v>
    <v>46279.979193113279</v>
    <v>399</v>
    <v>69.87</v>
    <v>270820816.39999998</v>
    <v>iShares:Gl Timber</v>
    <v>70.13</v>
    <v>70.760000000000005</v>
    <v>70.259900000000002</v>
    <v>70.319999999999993</v>
    <v>WOOD</v>
    <v>iShares:Gl Timber (XNAS:WOOD)</v>
    <v>12423</v>
    <v>32992</v>
  </rv>
  <rv s="2">
    <v>400</v>
  </rv>
  <rv s="0">
    <v>https://www.bing.com/financeapi/forcetrigger?t=a1wxdm&amp;q=ARCX%3aLIT&amp;form=skydnc</v>
    <v>Learn more on Bing</v>
  </rv>
  <rv s="1">
    <v>en-US</v>
    <v>a1wxdm</v>
    <v>268435456</v>
    <v>1</v>
    <v>Powered by Refinitiv</v>
    <v>0</v>
    <v>Glbl X Lith &amp; Bat Tech (ARCX:LIT)</v>
    <v>2</v>
    <v>3</v>
    <v>Finance</v>
    <v>5</v>
    <v>91.98</v>
    <v>51.3</v>
    <v>0.8881</v>
    <v>-1.52</v>
    <v>0</v>
    <v>-2.1262E-2</v>
    <v>0</v>
    <v>USD</v>
    <v>NYSE Arca</v>
    <v>ARCX</v>
    <v>7.4999999999999997E-3</v>
    <v>70.52</v>
    <v>ETF</v>
    <v>46279.979176029687</v>
    <v>402</v>
    <v>69.599999999999994</v>
    <v>1643735328.3099999</v>
    <v>Glbl X Lith &amp; Bat Tech</v>
    <v>69.92</v>
    <v>71.489999999999995</v>
    <v>69.97</v>
    <v>69.97</v>
    <v>LIT</v>
    <v>Glbl X Lith &amp; Bat Tech (ARCX:LIT)</v>
    <v>197101</v>
    <v>250719</v>
  </rv>
  <rv s="2">
    <v>403</v>
  </rv>
  <rv s="0">
    <v>https://www.bing.com/financeapi/forcetrigger?t=a1y9kr&amp;q=ARCX%3aNANR&amp;form=skydnc</v>
    <v>Learn more on Bing</v>
  </rv>
  <rv s="1">
    <v>en-US</v>
    <v>a1y9kr</v>
    <v>268435456</v>
    <v>1</v>
    <v>Powered by Refinitiv</v>
    <v>0</v>
    <v>ST STR SPDR S&amp;P NT AM NA RE ETF (ARCX:NANR)</v>
    <v>2</v>
    <v>3</v>
    <v>Finance</v>
    <v>5</v>
    <v>92.21</v>
    <v>61.4</v>
    <v>1.0508999999999999</v>
    <v>-1.38</v>
    <v>0</v>
    <v>-1.5361E-2</v>
    <v>0</v>
    <v>USD</v>
    <v>NYSE Arca</v>
    <v>ARCX</v>
    <v>3.4999999999999996E-3</v>
    <v>89.72</v>
    <v>ETF</v>
    <v>46279.979184235941</v>
    <v>405</v>
    <v>88.46</v>
    <v>847078440.17999995</v>
    <v>ST STR SPDR S&amp;P NT AM NA RE ETF</v>
    <v>89.72</v>
    <v>89.84</v>
    <v>88.46</v>
    <v>88.46</v>
    <v>NANR</v>
    <v>ST STR SPDR S&amp;P NT AM NA RE ETF (ARCX:NANR)</v>
    <v>14842</v>
    <v>29924</v>
  </rv>
  <rv s="2">
    <v>406</v>
  </rv>
  <rv s="0">
    <v>https://www.bing.com/financeapi/forcetrigger?t=a24uhw&amp;q=ARCX%3aUGA&amp;form=skydnc</v>
    <v>Learn more on Bing</v>
  </rv>
  <rv s="1">
    <v>en-US</v>
    <v>a24uhw</v>
    <v>268435456</v>
    <v>1</v>
    <v>Powered by Refinitiv</v>
    <v>0</v>
    <v>United States Gas (ARCX:UGA)</v>
    <v>2</v>
    <v>3</v>
    <v>Finance</v>
    <v>5</v>
    <v>143.38999999999999</v>
    <v>60.3992</v>
    <v>0.76029999999999998</v>
    <v>-0.43</v>
    <v>3.6159999999999999E-3</v>
    <v>-3.0999999999999999E-3</v>
    <v>0.5</v>
    <v>USD</v>
    <v>NYSE Arca</v>
    <v>ARCX</v>
    <v>1.03E-2</v>
    <v>143.38999999999999</v>
    <v>ETF</v>
    <v>46279.979195844535</v>
    <v>408</v>
    <v>137.16999999999999</v>
    <v>146956731.41</v>
    <v>United States Gas</v>
    <v>143.19</v>
    <v>138.69999999999999</v>
    <v>138.27000000000001</v>
    <v>138.77000000000001</v>
    <v>UGA</v>
    <v>United States Gas (ARCX:UGA)</v>
    <v>34027</v>
    <v>38777</v>
  </rv>
  <rv s="2">
    <v>409</v>
  </rv>
  <rv s="0">
    <v>https://www.bing.com/financeapi/forcetrigger?t=a1p6dm&amp;q=ARCX%3aCANE&amp;form=skydnc</v>
    <v>Learn more on Bing</v>
  </rv>
  <rv s="1">
    <v>en-US</v>
    <v>a1p6dm</v>
    <v>268435456</v>
    <v>1</v>
    <v>Powered by Refinitiv</v>
    <v>0</v>
    <v>TEUCRIUM SUGAR ETF (ARCX:CANE)</v>
    <v>2</v>
    <v>3</v>
    <v>Finance</v>
    <v>5</v>
    <v>11.875</v>
    <v>8.9700000000000006</v>
    <v>-0.29780000000000001</v>
    <v>-7.0000000000000007E-2</v>
    <v>3.493E-3</v>
    <v>-6.0760000000000007E-3</v>
    <v>0.04</v>
    <v>USD</v>
    <v>NYSE Arca</v>
    <v>ARCX</v>
    <v>4.2699999999999995E-2</v>
    <v>11.58</v>
    <v>ETF</v>
    <v>46279.979195578126</v>
    <v>411</v>
    <v>11.38</v>
    <v>58135732.810000002</v>
    <v>TEUCRIUM SUGAR ETF</v>
    <v>11.49</v>
    <v>11.52</v>
    <v>11.45</v>
    <v>11.49</v>
    <v>CANE</v>
    <v>TEUCRIUM SUGAR ETF (ARCX:CANE)</v>
    <v>481614</v>
    <v>358614</v>
  </rv>
  <rv s="2">
    <v>412</v>
  </rv>
  <rv s="0">
    <v>https://www.bing.com/financeapi/forcetrigger?t=a1qrar&amp;q=ARCX%3aDBB&amp;form=skydnc</v>
    <v>Learn more on Bing</v>
  </rv>
  <rv s="1">
    <v>en-US</v>
    <v>a1qrar</v>
    <v>268435456</v>
    <v>1</v>
    <v>Powered by Refinitiv</v>
    <v>0</v>
    <v>Invesco DB MS BMtl (ARCX:DBB)</v>
    <v>2</v>
    <v>3</v>
    <v>Finance</v>
    <v>5</v>
    <v>26.71</v>
    <v>19.95</v>
    <v>0.90959999999999996</v>
    <v>-0.35</v>
    <v>0</v>
    <v>-1.3774E-2</v>
    <v>0</v>
    <v>USD</v>
    <v>NYSE Arca</v>
    <v>ARCX</v>
    <v>7.4000000000000003E-3</v>
    <v>25.2</v>
    <v>ETF</v>
    <v>46279.979197685156</v>
    <v>414</v>
    <v>24.936299999999999</v>
    <v>361760080.57999998</v>
    <v>Invesco DB MS BMtl</v>
    <v>25.2</v>
    <v>25.41</v>
    <v>25.06</v>
    <v>25.06</v>
    <v>DBB</v>
    <v>Invesco DB MS BMtl (ARCX:DBB)</v>
    <v>356096</v>
    <v>184952</v>
  </rv>
  <rv s="2">
    <v>415</v>
  </rv>
  <rv s="0">
    <v>https://www.bing.com/financeapi/forcetrigger?t=a259p2&amp;q=ARCX%3aVEGI&amp;form=skydnc</v>
    <v>Learn more on Bing</v>
  </rv>
  <rv s="1">
    <v>en-US</v>
    <v>a259p2</v>
    <v>268435456</v>
    <v>1</v>
    <v>Powered by Refinitiv</v>
    <v>0</v>
    <v>ISHARES MSCI AGRI PRODUCERS ETF (ARCX:VEGI)</v>
    <v>2</v>
    <v>3</v>
    <v>Finance</v>
    <v>5</v>
    <v>49.64</v>
    <v>38</v>
    <v>0.73740000000000006</v>
    <v>-0.23</v>
    <v>0</v>
    <v>-4.79E-3</v>
    <v>0</v>
    <v>USD</v>
    <v>NYSE Arca</v>
    <v>ARCX</v>
    <v>3.9000000000000003E-3</v>
    <v>48.13</v>
    <v>ETF</v>
    <v>46279.979196226559</v>
    <v>417</v>
    <v>47.695</v>
    <v>155867525.91999999</v>
    <v>ISHARES MSCI AGRI PRODUCERS ETF</v>
    <v>47.87</v>
    <v>48.02</v>
    <v>47.79</v>
    <v>47.79</v>
    <v>VEGI</v>
    <v>ISHARES MSCI AGRI PRODUCERS ETF (ARCX:VEGI)</v>
    <v>27080</v>
    <v>52916</v>
  </rv>
  <rv s="2">
    <v>418</v>
  </rv>
  <rv s="0">
    <v>https://www.bing.com/financeapi/forcetrigger?t=a1twnm&amp;q=ARCX%3aGLD&amp;form=skydnc</v>
    <v>Learn more on Bing</v>
  </rv>
  <rv s="1">
    <v>en-US</v>
    <v>a1twnm</v>
    <v>268435456</v>
    <v>1</v>
    <v>Powered by Refinitiv</v>
    <v>0</v>
    <v>SPDR Gold (ARCX:GLD)</v>
    <v>2</v>
    <v>3</v>
    <v>Finance</v>
    <v>4</v>
    <v>509.7</v>
    <v>333.81</v>
    <v>0.85150000000000003</v>
    <v>-5.99</v>
    <v>1.196E-3</v>
    <v>-1.5021E-2</v>
    <v>0.47</v>
    <v>USD</v>
    <v>NYSE Arca</v>
    <v>ARCX</v>
    <v>4.0000000000000001E-3</v>
    <v>395.9</v>
    <v>ETF</v>
    <v>46279.996629397654</v>
    <v>420</v>
    <v>390.96</v>
    <v>152861201667.25</v>
    <v>SPDR Gold</v>
    <v>391.89</v>
    <v>398.77</v>
    <v>392.78</v>
    <v>393.31</v>
    <v>GLD</v>
    <v>SPDR Gold (ARCX:GLD)</v>
    <v>7434851</v>
    <v>11234635</v>
  </rv>
  <rv s="2">
    <v>421</v>
  </rv>
  <rv s="0">
    <v>https://www.bing.com/financeapi/forcetrigger?t=a1xurw&amp;q=ARCX%3aMOO&amp;form=skydnc</v>
    <v>Learn more on Bing</v>
  </rv>
  <rv s="1">
    <v>en-US</v>
    <v>a1xurw</v>
    <v>268435456</v>
    <v>1</v>
    <v>Powered by Refinitiv</v>
    <v>0</v>
    <v>VanEck:Agribusiness (ARCX:MOO)</v>
    <v>2</v>
    <v>3</v>
    <v>Finance</v>
    <v>5</v>
    <v>89.297499999999999</v>
    <v>69.319999999999993</v>
    <v>0.77170000000000005</v>
    <v>-0.16</v>
    <v>0</v>
    <v>-1.8500000000000001E-3</v>
    <v>0</v>
    <v>USD</v>
    <v>NYSE Arca</v>
    <v>ARCX</v>
    <v>5.6000000000000008E-3</v>
    <v>86.97</v>
    <v>ETF</v>
    <v>46279.979181712501</v>
    <v>423</v>
    <v>86.2</v>
    <v>1055637488.38</v>
    <v>VanEck:Agribusiness</v>
    <v>86.88</v>
    <v>86.48</v>
    <v>86.32</v>
    <v>86.32</v>
    <v>MOO</v>
    <v>VanEck:Agribusiness (ARCX:MOO)</v>
    <v>277068</v>
    <v>424996</v>
  </rv>
  <rv s="2">
    <v>424</v>
  </rv>
  <rv s="0">
    <v>https://www.bing.com/financeapi/forcetrigger?t=a1qrgh&amp;q=ARCX%3aDBC&amp;form=skydnc</v>
    <v>Learn more on Bing</v>
  </rv>
  <rv s="1">
    <v>en-US</v>
    <v>a1qrgh</v>
    <v>268435456</v>
    <v>1</v>
    <v>Powered by Refinitiv</v>
    <v>0</v>
    <v>Invesco DB Cm Idx (ARCX:DBC)</v>
    <v>2</v>
    <v>3</v>
    <v>Finance</v>
    <v>5</v>
    <v>33.625</v>
    <v>21.98</v>
    <v>0.40910000000000002</v>
    <v>-0.01</v>
    <v>2.9559999999999999E-3</v>
    <v>-3.0160000000000001E-4</v>
    <v>9.8000000000000004E-2</v>
    <v>USD</v>
    <v>NYSE Arca</v>
    <v>ARCX</v>
    <v>8.199999999999999E-3</v>
    <v>33.6</v>
    <v>ETF</v>
    <v>46279.979180439062</v>
    <v>426</v>
    <v>33.015000000000001</v>
    <v>1832380118.25</v>
    <v>Invesco DB Cm Idx</v>
    <v>33.49</v>
    <v>33.159999999999997</v>
    <v>33.15</v>
    <v>33.247999999999998</v>
    <v>DBC</v>
    <v>Invesco DB Cm Idx (ARCX:DBC)</v>
    <v>1308994</v>
    <v>819954</v>
  </rv>
  <rv s="2">
    <v>427</v>
  </rv>
  <rv s="0">
    <v>https://www.bing.com/financeapi/forcetrigger?t=a1qr27&amp;q=ARCX%3aDBA&amp;form=skydnc</v>
    <v>Learn more on Bing</v>
  </rv>
  <rv s="1">
    <v>en-US</v>
    <v>a1qr27</v>
    <v>268435456</v>
    <v>1</v>
    <v>Powered by Refinitiv</v>
    <v>0</v>
    <v>Invesco DB MS Agri (ARCX:DBA)</v>
    <v>2</v>
    <v>3</v>
    <v>Finance</v>
    <v>5</v>
    <v>29.52</v>
    <v>25.4</v>
    <v>0.56899999999999995</v>
    <v>0.03</v>
    <v>7.1240000000000001E-3</v>
    <v>1.0369999999999999E-3</v>
    <v>0.20630000000000001</v>
    <v>USD</v>
    <v>NYSE Arca</v>
    <v>ARCX</v>
    <v>8.3000000000000001E-3</v>
    <v>29.06</v>
    <v>ETF</v>
    <v>46279.981807777345</v>
    <v>429</v>
    <v>28.864999999999998</v>
    <v>1396237195.3499999</v>
    <v>Invesco DB MS Agri</v>
    <v>28.95</v>
    <v>28.93</v>
    <v>28.96</v>
    <v>29.1663</v>
    <v>DBA</v>
    <v>Invesco DB MS Agri (ARCX:DBA)</v>
    <v>1422158</v>
    <v>1402432</v>
  </rv>
  <rv s="2">
    <v>430</v>
  </rv>
  <rv s="0">
    <v>https://www.bing.com/financeapi/forcetrigger?t=a23c1h&amp;q=ARCX%3aSOYB&amp;form=skydnc</v>
    <v>Learn more on Bing</v>
  </rv>
  <rv s="1">
    <v>en-US</v>
    <v>a23c1h</v>
    <v>268435456</v>
    <v>1</v>
    <v>Powered by Refinitiv</v>
    <v>0</v>
    <v>TEUCRIUM SOYBEAN ETF (ARCX:SOYB)</v>
    <v>2</v>
    <v>3</v>
    <v>Finance</v>
    <v>5</v>
    <v>28.15</v>
    <v>21.36</v>
    <v>0.91459999999999997</v>
    <v>0.19</v>
    <v>0</v>
    <v>6.9089999999999993E-3</v>
    <v>0</v>
    <v>USD</v>
    <v>NYSE Arca</v>
    <v>ARCX</v>
    <v>3.3399999999999999E-2</v>
    <v>27.7</v>
    <v>ETF</v>
    <v>46279.979177036716</v>
    <v>432</v>
    <v>27.46</v>
    <v>46390799.090000004</v>
    <v>TEUCRIUM SOYBEAN ETF</v>
    <v>27.68</v>
    <v>27.5</v>
    <v>27.69</v>
    <v>27.69</v>
    <v>SOYB</v>
    <v>TEUCRIUM SOYBEAN ETF (ARCX:SOYB)</v>
    <v>46105</v>
    <v>86199</v>
  </rv>
  <rv s="2">
    <v>433</v>
  </rv>
  <rv s="0">
    <v>https://www.bing.com/financeapi/forcetrigger?t=a25sbh&amp;q=ARCX%3aWEAT&amp;form=skydnc</v>
    <v>Learn more on Bing</v>
  </rv>
  <rv s="1">
    <v>en-US</v>
    <v>a25sbh</v>
    <v>268435456</v>
    <v>1</v>
    <v>Powered by Refinitiv</v>
    <v>0</v>
    <v>TEUCRIUM WHEAT ETF (ARCX:WEAT)</v>
    <v>2</v>
    <v>3</v>
    <v>Finance</v>
    <v>5</v>
    <v>28.41</v>
    <v>19.78</v>
    <v>1.0531999999999999</v>
    <v>-0.08</v>
    <v>4.1989999999999996E-3</v>
    <v>-3.0480000000000004E-3</v>
    <v>0.1099</v>
    <v>USD</v>
    <v>NYSE Arca</v>
    <v>ARCX</v>
    <v>3.1800000000000002E-2</v>
    <v>26.515000000000001</v>
    <v>ETF</v>
    <v>46279.983919837498</v>
    <v>435</v>
    <v>25.770499999999998</v>
    <v>363096460.88999999</v>
    <v>TEUCRIUM WHEAT ETF</v>
    <v>26.44</v>
    <v>26.25</v>
    <v>26.17</v>
    <v>26.279900000000001</v>
    <v>WEAT</v>
    <v>TEUCRIUM WHEAT ETF (ARCX:WEAT)</v>
    <v>822261</v>
    <v>725130</v>
  </rv>
  <rv s="2">
    <v>436</v>
  </rv>
  <rv s="0">
    <v>https://www.bing.com/financeapi/forcetrigger?t=a1q62w&amp;q=ARCX%3aCORN&amp;form=skydnc</v>
    <v>Learn more on Bing</v>
  </rv>
  <rv s="1">
    <v>en-US</v>
    <v>a1q62w</v>
    <v>268435456</v>
    <v>1</v>
    <v>Powered by Refinitiv</v>
    <v>0</v>
    <v>Teucrium:Corn (ARCX:CORN)</v>
    <v>2</v>
    <v>3</v>
    <v>Finance</v>
    <v>5</v>
    <v>20.43</v>
    <v>16.364999999999998</v>
    <v>0.84630000000000005</v>
    <v>0.1</v>
    <v>0</v>
    <v>5.0200000000000002E-3</v>
    <v>0</v>
    <v>USD</v>
    <v>NYSE Arca</v>
    <v>ARCX</v>
    <v>3.4500000000000003E-2</v>
    <v>20.085000000000001</v>
    <v>ETF</v>
    <v>46279.979195485939</v>
    <v>438</v>
    <v>19.850000000000001</v>
    <v>165107962.27000001</v>
    <v>Teucrium:Corn</v>
    <v>19.97</v>
    <v>19.920000000000002</v>
    <v>20.02</v>
    <v>20.02</v>
    <v>CORN</v>
    <v>Teucrium:Corn (ARCX:CORN)</v>
    <v>264327</v>
    <v>513284</v>
  </rv>
  <rv s="2">
    <v>439</v>
  </rv>
  <rv s="0">
    <v>https://www.bing.com/financeapi/forcetrigger?t=a24xim&amp;q=ARCX%3aUNG&amp;form=skydnc</v>
    <v>Learn more on Bing</v>
  </rv>
  <rv s="1">
    <v>en-US</v>
    <v>a24xim</v>
    <v>268435456</v>
    <v>1</v>
    <v>Powered by Refinitiv</v>
    <v>0</v>
    <v>United States Nat Gas (ARCX:UNG)</v>
    <v>2</v>
    <v>3</v>
    <v>Finance</v>
    <v>4</v>
    <v>17.024999999999999</v>
    <v>9.5449999999999999</v>
    <v>1.5201</v>
    <v>0.155</v>
    <v>2.9139999999999999E-3</v>
    <v>1.5240999999999999E-2</v>
    <v>3.0099999999999998E-2</v>
    <v>USD</v>
    <v>NYSE Arca</v>
    <v>ARCX</v>
    <v>1.1699999999999999E-2</v>
    <v>10.45</v>
    <v>ETF</v>
    <v>46279.992037164062</v>
    <v>441</v>
    <v>10.26</v>
    <v>579413107.11000001</v>
    <v>United States Nat Gas</v>
    <v>10.28</v>
    <v>10.17</v>
    <v>10.324999999999999</v>
    <v>10.360099999999999</v>
    <v>UNG</v>
    <v>United States Nat Gas (ARCX:UNG)</v>
    <v>19527840</v>
    <v>11601022</v>
  </rv>
  <rv s="2">
    <v>442</v>
  </rv>
  <rv s="0">
    <v>https://www.bing.com/financeapi/forcetrigger?t=a1sh27&amp;q=ARCX%3aEWY&amp;form=skydnc</v>
    <v>Learn more on Bing</v>
  </rv>
  <rv s="1">
    <v>en-US</v>
    <v>a1sh27</v>
    <v>268435456</v>
    <v>1</v>
    <v>Powered by Refinitiv</v>
    <v>0</v>
    <v>iShares:MSCI S Korea (ARCX:EWY)</v>
    <v>2</v>
    <v>3</v>
    <v>Finance</v>
    <v>4</v>
    <v>220.89</v>
    <v>78.27</v>
    <v>2.113</v>
    <v>-12.53</v>
    <v>1.5955999999999998E-2</v>
    <v>-6.6394999999999996E-2</v>
    <v>2.8117999999999999</v>
    <v>USD</v>
    <v>NYSE Arca</v>
    <v>ARCX</v>
    <v>5.8999999999999999E-3</v>
    <v>179.54</v>
    <v>ETF</v>
    <v>46279.995821087497</v>
    <v>444</v>
    <v>175.655</v>
    <v>27722783459.799999</v>
    <v>iShares:MSCI S Korea</v>
    <v>178.5</v>
    <v>188.72</v>
    <v>176.19</v>
    <v>179.0318</v>
    <v>EWY</v>
    <v>iShares:MSCI S Korea (ARCX:EWY)</v>
    <v>24486339</v>
    <v>14157961</v>
  </rv>
  <rv s="2">
    <v>445</v>
  </rv>
  <rv s="0">
    <v>https://www.bing.com/financeapi/forcetrigger?t=a1sgk2&amp;q=ARCX%3aEWT&amp;form=skydnc</v>
    <v>Learn more on Bing</v>
  </rv>
  <rv s="1">
    <v>en-US</v>
    <v>a1sgk2</v>
    <v>268435456</v>
    <v>1</v>
    <v>Powered by Refinitiv</v>
    <v>0</v>
    <v>iShares:MSCI Taiwan (ARCX:EWT)</v>
    <v>2</v>
    <v>3</v>
    <v>Finance</v>
    <v>5</v>
    <v>112.78</v>
    <v>59.96</v>
    <v>0.89339999999999997</v>
    <v>-3.7</v>
    <v>7.3689999999999997E-3</v>
    <v>-3.3360000000000001E-2</v>
    <v>0.79</v>
    <v>USD</v>
    <v>NYSE Arca</v>
    <v>ARCX</v>
    <v>5.8999999999999999E-3</v>
    <v>108.13500000000001</v>
    <v>ETF</v>
    <v>46279.979194142972</v>
    <v>447</v>
    <v>106.74</v>
    <v>11758742143.969999</v>
    <v>iShares:MSCI Taiwan</v>
    <v>107.05</v>
    <v>110.91</v>
    <v>107.21</v>
    <v>108</v>
    <v>EWT</v>
    <v>iShares:MSCI Taiwan (ARCX:EWT)</v>
    <v>4493505</v>
    <v>3654702</v>
  </rv>
  <rv s="2">
    <v>448</v>
  </rv>
  <rv s="0">
    <v>https://www.bing.com/financeapi/forcetrigger?t=a1sff2&amp;q=ARCX%3aEWH&amp;form=skydnc</v>
    <v>Learn more on Bing</v>
  </rv>
  <rv s="1">
    <v>en-US</v>
    <v>a1sff2</v>
    <v>268435456</v>
    <v>1</v>
    <v>Powered by Refinitiv</v>
    <v>0</v>
    <v>iShares:MSCI Hong Kong (ARCX:EWH)</v>
    <v>2</v>
    <v>3</v>
    <v>Finance</v>
    <v>5</v>
    <v>24.66</v>
    <v>20.6</v>
    <v>0.68479999999999996</v>
    <v>0.2</v>
    <v>0</v>
    <v>8.881E-3</v>
    <v>0</v>
    <v>USD</v>
    <v>NYSE Arca</v>
    <v>ARCX</v>
    <v>5.0000000000000001E-3</v>
    <v>22.78</v>
    <v>ETF</v>
    <v>46279.979180103903</v>
    <v>450</v>
    <v>22.54</v>
    <v>1213570420.24</v>
    <v>iShares:MSCI Hong Kong</v>
    <v>22.54</v>
    <v>22.52</v>
    <v>22.72</v>
    <v>22.72</v>
    <v>EWH</v>
    <v>iShares:MSCI Hong Kong (ARCX:EWH)</v>
    <v>3653671</v>
    <v>2535056</v>
  </rv>
  <rv s="2">
    <v>451</v>
  </rv>
  <rv s="0">
    <v>https://www.bing.com/financeapi/forcetrigger?t=a1rour&amp;q=ARCX%3aEEM&amp;form=skydnc</v>
    <v>Learn more on Bing</v>
  </rv>
  <rv s="1">
    <v>en-US</v>
    <v>a1rour</v>
    <v>268435456</v>
    <v>1</v>
    <v>Powered by Refinitiv</v>
    <v>0</v>
    <v>iShares:MSCI Em Mkts (ARCX:EEM)</v>
    <v>2</v>
    <v>3</v>
    <v>Finance</v>
    <v>4</v>
    <v>71.569999999999993</v>
    <v>51.821899999999999</v>
    <v>0.87749999999999995</v>
    <v>-1.87</v>
    <v>-9.0919999999999998E-4</v>
    <v>-2.7564999999999999E-2</v>
    <v>-0.06</v>
    <v>USD</v>
    <v>NYSE Arca</v>
    <v>ARCX</v>
    <v>7.1999999999999998E-3</v>
    <v>66.484999999999999</v>
    <v>ETF</v>
    <v>46279.991927036717</v>
    <v>453</v>
    <v>65.72</v>
    <v>31207040970.630001</v>
    <v>iShares:MSCI Em Mkts</v>
    <v>65.95</v>
    <v>67.84</v>
    <v>65.97</v>
    <v>65.930000000000007</v>
    <v>EEM</v>
    <v>iShares:MSCI Em Mkts (ARCX:EEM)</v>
    <v>24206839</v>
    <v>16844414</v>
  </rv>
  <rv s="2">
    <v>454</v>
  </rv>
  <rv s="0">
    <v>https://www.bing.com/financeapi/forcetrigger?t=a1sfz2&amp;q=ARCX%3aEWN&amp;form=skydnc</v>
    <v>Learn more on Bing</v>
  </rv>
  <rv s="1">
    <v>en-US</v>
    <v>a1sfz2</v>
    <v>268435456</v>
    <v>1</v>
    <v>Powered by Refinitiv</v>
    <v>0</v>
    <v>iShares:MSCI Netherlands (ARCX:EWN)</v>
    <v>2</v>
    <v>3</v>
    <v>Finance</v>
    <v>5</v>
    <v>71.844999999999999</v>
    <v>54.99</v>
    <v>0.98580000000000001</v>
    <v>-1.31</v>
    <v>0</v>
    <v>-1.9310000000000001E-2</v>
    <v>0</v>
    <v>USD</v>
    <v>NYSE Arca</v>
    <v>ARCX</v>
    <v>5.0000000000000001E-3</v>
    <v>67.040000000000006</v>
    <v>ETF</v>
    <v>46279.979175844528</v>
    <v>456</v>
    <v>66.319999999999993</v>
    <v>626658827.78999996</v>
    <v>iShares:MSCI Netherlands</v>
    <v>66.540000000000006</v>
    <v>67.84</v>
    <v>66.53</v>
    <v>66.53</v>
    <v>EWN</v>
    <v>iShares:MSCI Netherlands (ARCX:EWN)</v>
    <v>54445</v>
    <v>239363</v>
  </rv>
  <rv s="2">
    <v>457</v>
  </rv>
  <rv s="0">
    <v>https://www.bing.com/financeapi/forcetrigger?t=a1vjec&amp;q=BATS%3aINDA&amp;form=skydnc</v>
    <v>Learn more on Bing</v>
  </rv>
  <rv s="1">
    <v>en-US</v>
    <v>a1vjec</v>
    <v>268435456</v>
    <v>1</v>
    <v>Powered by Refinitiv</v>
    <v>0</v>
    <v>ISHARES MSCI INDIA INDEX ETF (BATS:INDA)</v>
    <v>2</v>
    <v>3</v>
    <v>Finance</v>
    <v>13</v>
    <v>55.5</v>
    <v>45.211799999999997</v>
    <v>0.80449999999999999</v>
    <v>-0.14000000000000001</v>
    <v>-4.1300000000000001E-4</v>
    <v>-2.882E-3</v>
    <v>-0.02</v>
    <v>USD</v>
    <v>CBOE BZX Exchange</v>
    <v>BATS</v>
    <v>6.0999999999999995E-3</v>
    <v>48.575000000000003</v>
    <v>ETF</v>
    <v>46279.979193193751</v>
    <v>459</v>
    <v>48.15</v>
    <v>6747315653.8599997</v>
    <v>ISHARES MSCI INDIA INDEX ETF</v>
    <v>48.155000000000001</v>
    <v>48.57</v>
    <v>48.43</v>
    <v>48.41</v>
    <v>INDA</v>
    <v>ISHARES MSCI INDIA INDEX ETF (BATS:INDA)</v>
    <v>4563274</v>
    <v>4042441</v>
  </rv>
  <rv s="2">
    <v>460</v>
  </rv>
  <rv s="0">
    <v>https://www.bing.com/financeapi/forcetrigger?t=a1seu2&amp;q=ARCX%3aEWA&amp;form=skydnc</v>
    <v>Learn more on Bing</v>
  </rv>
  <rv s="1">
    <v>en-US</v>
    <v>a1seu2</v>
    <v>268435456</v>
    <v>1</v>
    <v>Powered by Refinitiv</v>
    <v>0</v>
    <v>iShares:MSCI Australia (ARCX:EWA)</v>
    <v>2</v>
    <v>3</v>
    <v>Finance</v>
    <v>5</v>
    <v>30.479900000000001</v>
    <v>24.94</v>
    <v>1.0549999999999999</v>
    <v>-0.21</v>
    <v>0</v>
    <v>-7.175E-3</v>
    <v>0</v>
    <v>USD</v>
    <v>NYSE Arca</v>
    <v>ARCX</v>
    <v>5.0000000000000001E-3</v>
    <v>29.234999999999999</v>
    <v>ETF</v>
    <v>46279.979176238281</v>
    <v>462</v>
    <v>28.91</v>
    <v>1332844268.0799999</v>
    <v>iShares:MSCI Australia</v>
    <v>29.03</v>
    <v>29.27</v>
    <v>29.06</v>
    <v>29.06</v>
    <v>EWA</v>
    <v>iShares:MSCI Australia (ARCX:EWA)</v>
    <v>3987273</v>
    <v>2397491</v>
  </rv>
  <rv s="2">
    <v>463</v>
  </rv>
  <rv s="0">
    <v>https://www.bing.com/financeapi/forcetrigger?t=a25acw&amp;q=ARCX%3aVEU&amp;form=skydnc</v>
    <v>Learn more on Bing</v>
  </rv>
  <rv s="1">
    <v>en-US</v>
    <v>a25acw</v>
    <v>268435456</v>
    <v>1</v>
    <v>Powered by Refinitiv</v>
    <v>0</v>
    <v>Vanguard FTSE xUS;ETF (ARCX:VEU)</v>
    <v>2</v>
    <v>3</v>
    <v>Finance</v>
    <v>5</v>
    <v>86.52</v>
    <v>70.09</v>
    <v>0.90439999999999998</v>
    <v>-1.0900000000000001</v>
    <v>-1.0499999999999999E-3</v>
    <v>-1.2796E-2</v>
    <v>-8.8300000000000003E-2</v>
    <v>USD</v>
    <v>NYSE Arca</v>
    <v>ARCX</v>
    <v>4.0000000000000002E-4</v>
    <v>84.59</v>
    <v>ETF</v>
    <v>46279.979194409374</v>
    <v>465</v>
    <v>83.78</v>
    <v>70370921548</v>
    <v>Vanguard FTSE xUS;ETF</v>
    <v>84</v>
    <v>85.18</v>
    <v>84.09</v>
    <v>84.0017</v>
    <v>VEU</v>
    <v>Vanguard FTSE xUS;ETF (ARCX:VEU)</v>
    <v>2040726</v>
    <v>2294562</v>
  </rv>
  <rv s="2">
    <v>466</v>
  </rv>
  <rv s="0">
    <v>https://www.bing.com/financeapi/forcetrigger?t=a24qhw&amp;q=XNAS%3aUAE&amp;form=skydnc</v>
    <v>Learn more on Bing</v>
  </rv>
  <rv s="1">
    <v>en-US</v>
    <v>a24qhw</v>
    <v>268435456</v>
    <v>1</v>
    <v>Powered by Refinitiv</v>
    <v>0</v>
    <v>ISHARES MSCI UAE ETF (XNAS:UAE)</v>
    <v>2</v>
    <v>3</v>
    <v>Finance</v>
    <v>5</v>
    <v>22.29</v>
    <v>17.29</v>
    <v>0.60970000000000002</v>
    <v>0.16</v>
    <v>3.5310000000000003E-3</v>
    <v>8.0440000000000008E-3</v>
    <v>7.0800000000000002E-2</v>
    <v>USD</v>
    <v>Nasdaq Stock Market</v>
    <v>XNAS</v>
    <v>5.8999999999999999E-3</v>
    <v>20.14</v>
    <v>ETF</v>
    <v>46279.98074607578</v>
    <v>468</v>
    <v>19.885000000000002</v>
    <v>302459041.88999999</v>
    <v>ISHARES MSCI UAE ETF</v>
    <v>19.89</v>
    <v>19.89</v>
    <v>20.05</v>
    <v>20.120799999999999</v>
    <v>UAE</v>
    <v>ISHARES MSCI UAE ETF (XNAS:UAE)</v>
    <v>109278</v>
    <v>227241</v>
  </rv>
  <rv s="2">
    <v>469</v>
  </rv>
  <rv s="0">
    <v>https://www.bing.com/financeapi/forcetrigger?t=a24mz2&amp;q=XNAS%3aTUR&amp;form=skydnc</v>
    <v>Learn more on Bing</v>
  </rv>
  <rv s="1">
    <v>en-US</v>
    <v>a24mz2</v>
    <v>268435456</v>
    <v>1</v>
    <v>Powered by Refinitiv</v>
    <v>0</v>
    <v>iShares:MSCI Turkey (XNAS:TUR)</v>
    <v>2</v>
    <v>3</v>
    <v>Finance</v>
    <v>5</v>
    <v>43.98</v>
    <v>31.72</v>
    <v>0.71160000000000001</v>
    <v>-0.67</v>
    <v>0</v>
    <v>-1.6567999999999999E-2</v>
    <v>0</v>
    <v>USD</v>
    <v>Nasdaq Stock Market</v>
    <v>XNAS</v>
    <v>5.8999999999999999E-3</v>
    <v>39.949599999999997</v>
    <v>ETF</v>
    <v>46279.979179594535</v>
    <v>471</v>
    <v>39.655000000000001</v>
    <v>225079357.34999999</v>
    <v>iShares:MSCI Turkey</v>
    <v>39.909999999999997</v>
    <v>40.44</v>
    <v>39.770000000000003</v>
    <v>39.770000000000003</v>
    <v>TUR</v>
    <v>iShares:MSCI Turkey (XNAS:TUR)</v>
    <v>94846</v>
    <v>136707</v>
  </rv>
  <rv s="2">
    <v>472</v>
  </rv>
  <rv s="0">
    <v>https://www.bing.com/financeapi/forcetrigger?t=a1wnz2&amp;q=ARCX%3aKSA&amp;form=skydnc</v>
    <v>Learn more on Bing</v>
  </rv>
  <rv s="1">
    <v>en-US</v>
    <v>a1wnz2</v>
    <v>268435456</v>
    <v>1</v>
    <v>Powered by Refinitiv</v>
    <v>0</v>
    <v>ISHARES MSCI SAUDI ARABIA ETF (ARCX:KSA)</v>
    <v>2</v>
    <v>3</v>
    <v>Finance</v>
    <v>5</v>
    <v>41.5</v>
    <v>35.81</v>
    <v>0.25169999999999998</v>
    <v>-0.42</v>
    <v>0</v>
    <v>-1.0989000000000001E-2</v>
    <v>0</v>
    <v>USD</v>
    <v>NYSE Arca</v>
    <v>ARCX</v>
    <v>7.4999999999999997E-3</v>
    <v>37.884999999999998</v>
    <v>ETF</v>
    <v>46279.97919615703</v>
    <v>474</v>
    <v>37.71</v>
    <v>638504215.00999999</v>
    <v>ISHARES MSCI SAUDI ARABIA ETF</v>
    <v>37.840000000000003</v>
    <v>38.22</v>
    <v>37.799999999999997</v>
    <v>37.799999999999997</v>
    <v>KSA</v>
    <v>ISHARES MSCI SAUDI ARABIA ETF (ARCX:KSA)</v>
    <v>613438</v>
    <v>413231</v>
  </rv>
  <rv s="2">
    <v>475</v>
  </rv>
  <rv s="0">
    <v>https://www.bing.com/financeapi/forcetrigger?t=a1sg8m&amp;q=ARCX%3aEWQ&amp;form=skydnc</v>
    <v>Learn more on Bing</v>
  </rv>
  <rv s="1">
    <v>en-US</v>
    <v>a1sg8m</v>
    <v>268435456</v>
    <v>1</v>
    <v>Powered by Refinitiv</v>
    <v>0</v>
    <v>iShares:MSCI France (ARCX:EWQ)</v>
    <v>2</v>
    <v>3</v>
    <v>Finance</v>
    <v>5</v>
    <v>48.39</v>
    <v>41.58</v>
    <v>0.97899999999999998</v>
    <v>-0.42</v>
    <v>0</v>
    <v>-9.3480000000000004E-3</v>
    <v>0</v>
    <v>USD</v>
    <v>NYSE Arca</v>
    <v>ARCX</v>
    <v>5.0000000000000001E-3</v>
    <v>44.72</v>
    <v>ETF</v>
    <v>46279.979194178122</v>
    <v>477</v>
    <v>44.22</v>
    <v>338405580.83999997</v>
    <v>iShares:MSCI France</v>
    <v>44.39</v>
    <v>44.93</v>
    <v>44.51</v>
    <v>44.51</v>
    <v>EWQ</v>
    <v>iShares:MSCI France (ARCX:EWQ)</v>
    <v>247088</v>
    <v>267519</v>
  </rv>
  <rv s="2">
    <v>478</v>
  </rv>
  <rv s="0">
    <v>https://www.bing.com/financeapi/forcetrigger?t=a1ss8m&amp;q=ARCX%3aSPEU&amp;form=skydnc</v>
    <v>Learn more on Bing</v>
  </rv>
  <rv s="1">
    <v>en-US</v>
    <v>a1ss8m</v>
    <v>268435456</v>
    <v>1</v>
    <v>Powered by Refinitiv</v>
    <v>0</v>
    <v>SS SPDR P Eu (ARCX:SPEU)</v>
    <v>2</v>
    <v>3</v>
    <v>Finance</v>
    <v>5</v>
    <v>57.64</v>
    <v>48</v>
    <v>1.0139</v>
    <v>-0.47170000000000001</v>
    <v>0</v>
    <v>-8.4730000000000014E-3</v>
    <v>0</v>
    <v>USD</v>
    <v>NYSE Arca</v>
    <v>ARCX</v>
    <v>7.000000000000001E-4</v>
    <v>55.47</v>
    <v>ETF</v>
    <v>46279.979197789064</v>
    <v>480</v>
    <v>54.99</v>
    <v>738876864.38999999</v>
    <v>SS SPDR P Eu</v>
    <v>55.26</v>
    <v>55.671700000000001</v>
    <v>55.2</v>
    <v>55.2</v>
    <v>SPEU</v>
    <v>SS SPDR P Eu (ARCX:SPEU)</v>
    <v>18340</v>
    <v>22819</v>
  </rv>
  <rv s="2">
    <v>481</v>
  </rv>
  <rv s="0">
    <v>https://www.bing.com/financeapi/forcetrigger?t=a1sgmw&amp;q=ARCX%3aEWU&amp;form=skydnc</v>
    <v>Learn more on Bing</v>
  </rv>
  <rv s="1">
    <v>en-US</v>
    <v>a1sgmw</v>
    <v>268435456</v>
    <v>1</v>
    <v>Powered by Refinitiv</v>
    <v>0</v>
    <v>iShares:MSCI UK (ARCX:EWU)</v>
    <v>2</v>
    <v>3</v>
    <v>Finance</v>
    <v>5</v>
    <v>49.39</v>
    <v>40.880000000000003</v>
    <v>0.85270000000000001</v>
    <v>-0.03</v>
    <v>0</v>
    <v>-6.2579999999999992E-4</v>
    <v>0</v>
    <v>USD</v>
    <v>NYSE Arca</v>
    <v>ARCX</v>
    <v>5.0000000000000001E-3</v>
    <v>48.2</v>
    <v>ETF</v>
    <v>46279.979192789062</v>
    <v>483</v>
    <v>47.805</v>
    <v>3788491889.04</v>
    <v>iShares:MSCI UK</v>
    <v>48.05</v>
    <v>47.94</v>
    <v>47.91</v>
    <v>47.91</v>
    <v>EWU</v>
    <v>iShares:MSCI UK (ARCX:EWU)</v>
    <v>957675</v>
    <v>1060917</v>
  </rv>
  <rv s="2">
    <v>484</v>
  </rv>
  <rv s="0">
    <v>https://www.bing.com/financeapi/forcetrigger?t=a1sfqh&amp;q=ARCX%3aEWL&amp;form=skydnc</v>
    <v>Learn more on Bing</v>
  </rv>
  <rv s="1">
    <v>en-US</v>
    <v>a1sfqh</v>
    <v>268435456</v>
    <v>1</v>
    <v>Powered by Refinitiv</v>
    <v>0</v>
    <v>iShares:MSCI Switzerland (ARCX:EWL)</v>
    <v>2</v>
    <v>3</v>
    <v>Finance</v>
    <v>5</v>
    <v>65.525000000000006</v>
    <v>53.7</v>
    <v>1.0346</v>
    <v>0.19</v>
    <v>0</v>
    <v>3.1509999999999997E-3</v>
    <v>0</v>
    <v>USD</v>
    <v>NYSE Arca</v>
    <v>ARCX</v>
    <v>5.0000000000000001E-3</v>
    <v>61</v>
    <v>ETF</v>
    <v>46279.979194120315</v>
    <v>486</v>
    <v>60.41</v>
    <v>2419084060.96</v>
    <v>iShares:MSCI Switzerland</v>
    <v>61</v>
    <v>60.3</v>
    <v>60.49</v>
    <v>60.49</v>
    <v>EWL</v>
    <v>iShares:MSCI Switzerland (ARCX:EWL)</v>
    <v>919888</v>
    <v>538616</v>
  </rv>
  <rv s="2">
    <v>487</v>
  </rv>
  <rv s="0">
    <v>https://www.bing.com/financeapi/forcetrigger?t=a1sfhw&amp;q=ARCX%3aEWI&amp;form=skydnc</v>
    <v>Learn more on Bing</v>
  </rv>
  <rv s="1">
    <v>en-US</v>
    <v>a1sfhw</v>
    <v>268435456</v>
    <v>1</v>
    <v>Powered by Refinitiv</v>
    <v>0</v>
    <v>iShares:MSCI Italy (ARCX:EWI)</v>
    <v>2</v>
    <v>3</v>
    <v>Finance</v>
    <v>5</v>
    <v>63.76</v>
    <v>50.0548</v>
    <v>0.97219999999999995</v>
    <v>-1.05</v>
    <v>-5.0889999999999998E-3</v>
    <v>-1.6946000000000003E-2</v>
    <v>-0.31</v>
    <v>USD</v>
    <v>NYSE Arca</v>
    <v>ARCX</v>
    <v>5.0000000000000001E-3</v>
    <v>61.14</v>
    <v>ETF</v>
    <v>46279.986104814059</v>
    <v>489</v>
    <v>60.515000000000001</v>
    <v>1131894004.3</v>
    <v>iShares:MSCI Italy</v>
    <v>60.81</v>
    <v>61.96</v>
    <v>60.91</v>
    <v>60.6</v>
    <v>EWI</v>
    <v>iShares:MSCI Italy (ARCX:EWI)</v>
    <v>620665</v>
    <v>368598</v>
  </rv>
  <rv s="2">
    <v>490</v>
  </rv>
  <rv s="0">
    <v>https://www.bing.com/financeapi/forcetrigger?t=a1rtzr&amp;q=ARCX%3aEIS&amp;form=skydnc</v>
    <v>Learn more on Bing</v>
  </rv>
  <rv s="1">
    <v>en-US</v>
    <v>a1rtzr</v>
    <v>268435456</v>
    <v>1</v>
    <v>Powered by Refinitiv</v>
    <v>0</v>
    <v>iShares:MSCI Israel (ARCX:EIS)</v>
    <v>2</v>
    <v>3</v>
    <v>Finance</v>
    <v>5</v>
    <v>138.85</v>
    <v>93.334999999999994</v>
    <v>1.3472999999999999</v>
    <v>-0.69</v>
    <v>-3.2509999999999999E-4</v>
    <v>-5.5769999999999995E-3</v>
    <v>-0.04</v>
    <v>USD</v>
    <v>NYSE Arca</v>
    <v>ARCX</v>
    <v>5.8999999999999999E-3</v>
    <v>123.96</v>
    <v>ETF</v>
    <v>46279.983840810157</v>
    <v>492</v>
    <v>122.425</v>
    <v>897282578.65999997</v>
    <v>iShares:MSCI Israel</v>
    <v>122.69</v>
    <v>123.72</v>
    <v>123.03</v>
    <v>122.99</v>
    <v>EIS</v>
    <v>iShares:MSCI Israel (ARCX:EIS)</v>
    <v>14731</v>
    <v>21946</v>
  </rv>
  <rv s="2">
    <v>493</v>
  </rv>
  <rv s="0">
    <v>https://www.bing.com/financeapi/forcetrigger?t=a1sg5r&amp;q=ARCX%3aEWP&amp;form=skydnc</v>
    <v>Learn more on Bing</v>
  </rv>
  <rv s="1">
    <v>en-US</v>
    <v>a1sg5r</v>
    <v>268435456</v>
    <v>1</v>
    <v>Powered by Refinitiv</v>
    <v>0</v>
    <v>iShares:MSCI Spain (ARCX:EWP)</v>
    <v>2</v>
    <v>3</v>
    <v>Finance</v>
    <v>5</v>
    <v>63.44</v>
    <v>48.07</v>
    <v>1.1156999999999999</v>
    <v>-1.1499999999999999</v>
    <v>-2.787E-3</v>
    <v>-1.8506999999999999E-2</v>
    <v>-0.17</v>
    <v>USD</v>
    <v>NYSE Arca</v>
    <v>ARCX</v>
    <v>5.0000000000000001E-3</v>
    <v>61.34</v>
    <v>ETF</v>
    <v>46279.985808981248</v>
    <v>495</v>
    <v>60.72</v>
    <v>2257727090.1500001</v>
    <v>iShares:MSCI Spain</v>
    <v>61.09</v>
    <v>62.14</v>
    <v>60.99</v>
    <v>60.82</v>
    <v>EWP</v>
    <v>iShares:MSCI Spain (ARCX:EWP)</v>
    <v>932040</v>
    <v>334952</v>
  </rv>
  <rv s="2">
    <v>496</v>
  </rv>
  <rv s="0">
    <v>https://www.bing.com/financeapi/forcetrigger?t=aay98m&amp;q=XTSE%3aFM&amp;form=skydnc</v>
    <v>Learn more on Bing</v>
  </rv>
  <rv s="7">
    <v>en-US</v>
    <v>aay98m</v>
    <v>268435456</v>
    <v>1</v>
    <v>Powered by Refinitiv</v>
    <v>15</v>
    <v>FIRST QUANTUM MINERALS LTD. (XTSE:FM)</v>
    <v>16</v>
    <v>24</v>
    <v>Finance</v>
    <v>25</v>
    <v>49.27</v>
    <v>26.08</v>
    <v>2.0064000000000002</v>
    <v>-1.64</v>
    <v>0</v>
    <v>-3.7324000000000003E-2</v>
    <v>0</v>
    <v>CAD</v>
    <v>First Quantum Minerals Ltd. is a mining company. The Company is engaged in the production of copper, nickel and gold, and related activities including exploration and development. It has operating mines located in Zambia, Turkiye and Mauritania. Its projects include Kansanshi, Cobre Panama, Sentinel, Enterprise, Las Cruces, Guelb Moghrein, Cayeli, Ravensthorpe, and others. Its development projects include Haquira, Taca Taca, and La Granja. Taca Taca, located in the Salta province of Argentina, consists of an open-pit copper mine and ore processing plant that produces up to 275 kilotons(kt) of copper per year along with gold and molybdenum by-products. La Granja is in the district of Querocoto in the northern region of Cajamarca, Peru, approximately 90 kilometers northeast of Chiclayo. Haquira is in the Apurimac region of Peru is a longer-dated greenfield project.</v>
    <v>15661</v>
    <v>Toronto Stock Exchange</v>
    <v>XTSE</v>
    <v>XTSE</v>
    <v>1133 Melville Street, Suite 3500, The Stack, VANCOUVER, BC, V6E 4E5 CA</v>
    <v>42.67</v>
    <v>Metals &amp; Mining</v>
    <v>Stock</v>
    <v>46279.846053240741</v>
    <v>498</v>
    <v>41.3</v>
    <v>35286918030</v>
    <v>FIRST QUANTUM MINERALS LTD.</v>
    <v>FIRST QUANTUM MINERALS LTD.</v>
    <v>42.26</v>
    <v>0</v>
    <v>43.94</v>
    <v>42.3</v>
    <v>42.3</v>
    <v>834206100</v>
    <v>FM</v>
    <v>FIRST QUANTUM MINERALS LTD. (XTSE:FM)</v>
    <v>2553929</v>
    <v>2235240</v>
    <v>2014</v>
  </rv>
  <rv s="2">
    <v>499</v>
  </rv>
  <rv s="0">
    <v>https://www.bing.com/financeapi/forcetrigger?t=a1sh52&amp;q=ARCX%3aEWZ&amp;form=skydnc</v>
    <v>Learn more on Bing</v>
  </rv>
  <rv s="1">
    <v>en-US</v>
    <v>a1sh52</v>
    <v>268435456</v>
    <v>1</v>
    <v>Powered by Refinitiv</v>
    <v>0</v>
    <v>iShares:MSCI Brazil (ARCX:EWZ)</v>
    <v>2</v>
    <v>3</v>
    <v>Finance</v>
    <v>4</v>
    <v>42.02</v>
    <v>28.66</v>
    <v>1.1135999999999999</v>
    <v>-0.47</v>
    <v>-6.3629999999999997E-3</v>
    <v>-1.2306999999999998E-2</v>
    <v>-0.24</v>
    <v>USD</v>
    <v>NYSE Arca</v>
    <v>ARCX</v>
    <v>5.8999999999999999E-3</v>
    <v>37.865000000000002</v>
    <v>ETF</v>
    <v>46279.993009606253</v>
    <v>501</v>
    <v>37.174999999999997</v>
    <v>8173754421.6700001</v>
    <v>iShares:MSCI Brazil</v>
    <v>37.26</v>
    <v>38.19</v>
    <v>37.72</v>
    <v>37.479999999999997</v>
    <v>EWZ</v>
    <v>iShares:MSCI Brazil (ARCX:EWZ)</v>
    <v>21585469</v>
    <v>25199595</v>
  </rv>
  <rv s="2">
    <v>502</v>
  </rv>
  <rv s="0">
    <v>https://www.bing.com/financeapi/forcetrigger?t=a1sgec&amp;q=ARCX%3aEWS&amp;form=skydnc</v>
    <v>Learn more on Bing</v>
  </rv>
  <rv s="1">
    <v>en-US</v>
    <v>a1sgec</v>
    <v>268435456</v>
    <v>1</v>
    <v>Powered by Refinitiv</v>
    <v>0</v>
    <v>iShares:MSCI Singapore (ARCX:EWS)</v>
    <v>2</v>
    <v>3</v>
    <v>Finance</v>
    <v>5</v>
    <v>34.6</v>
    <v>26.695</v>
    <v>0.45279999999999998</v>
    <v>0.02</v>
    <v>3.686E-3</v>
    <v>5.9489999999999999E-4</v>
    <v>0.124</v>
    <v>USD</v>
    <v>NYSE Arca</v>
    <v>ARCX</v>
    <v>5.0000000000000001E-3</v>
    <v>33.715000000000003</v>
    <v>ETF</v>
    <v>46279.979173483596</v>
    <v>504</v>
    <v>33.42</v>
    <v>1249406883.9400001</v>
    <v>iShares:MSCI Singapore</v>
    <v>33.53</v>
    <v>33.619999999999997</v>
    <v>33.64</v>
    <v>33.764000000000003</v>
    <v>EWS</v>
    <v>iShares:MSCI Singapore (ARCX:EWS)</v>
    <v>2923434</v>
    <v>895566</v>
  </rv>
  <rv s="2">
    <v>505</v>
  </rv>
  <rv s="0">
    <v>https://www.bing.com/financeapi/forcetrigger?t=a1sf9c&amp;q=ARCX%3aEWG&amp;form=skydnc</v>
    <v>Learn more on Bing</v>
  </rv>
  <rv s="1">
    <v>en-US</v>
    <v>a1sf9c</v>
    <v>268435456</v>
    <v>1</v>
    <v>Powered by Refinitiv</v>
    <v>0</v>
    <v>iShares:MSCI Germany (ARCX:EWG)</v>
    <v>2</v>
    <v>3</v>
    <v>Finance</v>
    <v>5</v>
    <v>44.8491</v>
    <v>37.975000000000001</v>
    <v>1.0814999999999999</v>
    <v>-0.16</v>
    <v>-2.341E-4</v>
    <v>-3.7319999999999996E-3</v>
    <v>-0.01</v>
    <v>USD</v>
    <v>NYSE Arca</v>
    <v>ARCX</v>
    <v>4.8999999999999998E-3</v>
    <v>42.884999999999998</v>
    <v>ETF</v>
    <v>46279.97917570547</v>
    <v>507</v>
    <v>42.38</v>
    <v>1815145122.3800001</v>
    <v>iShares:MSCI Germany</v>
    <v>42.56</v>
    <v>42.87</v>
    <v>42.71</v>
    <v>42.7</v>
    <v>EWG</v>
    <v>iShares:MSCI Germany (ARCX:EWG)</v>
    <v>2859502</v>
    <v>732821</v>
  </rv>
  <rv s="2">
    <v>508</v>
  </rv>
  <rv s="0">
    <v>https://www.bing.com/financeapi/forcetrigger?t=a25g2w&amp;q=BATS%3aVNM&amp;form=skydnc</v>
    <v>Learn more on Bing</v>
  </rv>
  <rv s="1">
    <v>en-US</v>
    <v>a25g2w</v>
    <v>268435456</v>
    <v>1</v>
    <v>Powered by Refinitiv</v>
    <v>0</v>
    <v>VanEck:Vietnam (BATS:VNM)</v>
    <v>2</v>
    <v>3</v>
    <v>Finance</v>
    <v>13</v>
    <v>19.850000000000001</v>
    <v>16.22</v>
    <v>1.7592000000000001</v>
    <v>-0.16</v>
    <v>2.8839999999999998E-3</v>
    <v>-9.1430000000000001E-3</v>
    <v>0.05</v>
    <v>USD</v>
    <v>CBOE BZX Exchange</v>
    <v>BATS</v>
    <v>6.6E-3</v>
    <v>17.460999999999999</v>
    <v>ETF</v>
    <v>46279.980028078127</v>
    <v>510</v>
    <v>17.329999999999998</v>
    <v>521015250.44</v>
    <v>VanEck:Vietnam</v>
    <v>17.329999999999998</v>
    <v>17.5</v>
    <v>17.34</v>
    <v>17.39</v>
    <v>VNM</v>
    <v>VanEck:Vietnam (BATS:VNM)</v>
    <v>975125</v>
    <v>547483</v>
  </rv>
  <rv s="2">
    <v>511</v>
  </rv>
  <rv s="0">
    <v>https://www.bing.com/financeapi/forcetrigger?t=a1tjim&amp;q=ARCX%3aFXA&amp;form=skydnc</v>
    <v>Learn more on Bing</v>
  </rv>
  <rv s="1">
    <v>en-US</v>
    <v>a1tjim</v>
    <v>268435456</v>
    <v>1</v>
    <v>Powered by Refinitiv</v>
    <v>0</v>
    <v>Invesco:AU Dollar (ARCX:FXA)</v>
    <v>2</v>
    <v>3</v>
    <v>Finance</v>
    <v>5</v>
    <v>72.02</v>
    <v>63.66</v>
    <v>0.78469999999999995</v>
    <v>-0.33850000000000002</v>
    <v>0</v>
    <v>-4.7660000000000003E-3</v>
    <v>0</v>
    <v>USD</v>
    <v>NYSE Arca</v>
    <v>ARCX</v>
    <v>4.0000000000000001E-3</v>
    <v>70.760000000000005</v>
    <v>ETF</v>
    <v>46279.979173992971</v>
    <v>513</v>
    <v>70.42</v>
    <v>95887419.849999994</v>
    <v>Invesco:AU Dollar</v>
    <v>70.45</v>
    <v>71.018500000000003</v>
    <v>70.680000000000007</v>
    <v>70.680000000000007</v>
    <v>FXA</v>
    <v>Invesco:AU Dollar (ARCX:FXA)</v>
    <v>16623</v>
    <v>9085</v>
  </rv>
  <rv s="2">
    <v>514</v>
  </rv>
  <rv s="0">
    <v>https://www.bing.com/financeapi/forcetrigger?t=a1tl8m&amp;q=ARCX%3aFXY&amp;form=skydnc</v>
    <v>Learn more on Bing</v>
  </rv>
  <rv s="1">
    <v>en-US</v>
    <v>a1tl8m</v>
    <v>268435456</v>
    <v>1</v>
    <v>Powered by Refinitiv</v>
    <v>0</v>
    <v>Invesco:Japanese Yen (ARCX:FXY)</v>
    <v>2</v>
    <v>3</v>
    <v>Finance</v>
    <v>5</v>
    <v>63.260300000000001</v>
    <v>55.960099999999997</v>
    <v>1.2544999999999999</v>
    <v>-0.25</v>
    <v>0</v>
    <v>-4.189E-3</v>
    <v>0</v>
    <v>USD</v>
    <v>NYSE Arca</v>
    <v>ARCX</v>
    <v>4.0000000000000001E-3</v>
    <v>59.55</v>
    <v>ETF</v>
    <v>46279.979179351561</v>
    <v>516</v>
    <v>59.15</v>
    <v>436505719.67000002</v>
    <v>Invesco:Japanese Yen</v>
    <v>59.21</v>
    <v>59.68</v>
    <v>59.43</v>
    <v>59.43</v>
    <v>FXY</v>
    <v>Invesco:Japanese Yen (ARCX:FXY)</v>
    <v>251284</v>
    <v>287894</v>
  </rv>
  <rv s="2">
    <v>517</v>
  </rv>
  <rv s="0">
    <v>https://www.bing.com/financeapi/forcetrigger?t=a1tjlh&amp;q=ARCX%3aFXB&amp;form=skydnc</v>
    <v>Learn more on Bing</v>
  </rv>
  <rv s="1">
    <v>en-US</v>
    <v>a1tjlh</v>
    <v>268435456</v>
    <v>1</v>
    <v>Powered by Refinitiv</v>
    <v>0</v>
    <v>Invesco:GBP Sterling (ARCX:FXB)</v>
    <v>2</v>
    <v>3</v>
    <v>Finance</v>
    <v>5</v>
    <v>133.11000000000001</v>
    <v>125.02</v>
    <v>0.59389999999999998</v>
    <v>-0.18970000000000001</v>
    <v>0</v>
    <v>-1.459E-3</v>
    <v>0</v>
    <v>USD</v>
    <v>NYSE Arca</v>
    <v>ARCX</v>
    <v>4.0000000000000001E-3</v>
    <v>129.88999999999999</v>
    <v>ETF</v>
    <v>46279.979175693748</v>
    <v>519</v>
    <v>129.51</v>
    <v>65234877.020000003</v>
    <v>Invesco:GBP Sterling</v>
    <v>129.57</v>
    <v>130.01900000000001</v>
    <v>129.82929999999999</v>
    <v>129.82929999999999</v>
    <v>FXB</v>
    <v>Invesco:GBP Sterling (ARCX:FXB)</v>
    <v>24650</v>
    <v>13058</v>
  </rv>
  <rv s="2">
    <v>520</v>
  </rv>
  <rv s="0">
    <v>https://www.bing.com/financeapi/forcetrigger?t=a1tjww&amp;q=ARCX%3aFXE&amp;form=skydnc</v>
    <v>Learn more on Bing</v>
  </rv>
  <rv s="1">
    <v>en-US</v>
    <v>a1tjww</v>
    <v>268435456</v>
    <v>1</v>
    <v>Powered by Refinitiv</v>
    <v>0</v>
    <v>Invesco:Euro (ARCX:FXE)</v>
    <v>2</v>
    <v>3</v>
    <v>Finance</v>
    <v>5</v>
    <v>111.535</v>
    <v>104.6</v>
    <v>0.5978</v>
    <v>-0.46</v>
    <v>0</v>
    <v>-4.2989999999999999E-3</v>
    <v>0</v>
    <v>USD</v>
    <v>NYSE Arca</v>
    <v>ARCX</v>
    <v>4.0000000000000001E-3</v>
    <v>106.69</v>
    <v>ETF</v>
    <v>46279.979179131253</v>
    <v>522</v>
    <v>106.36</v>
    <v>370034854.73000002</v>
    <v>Invesco:Euro</v>
    <v>106.44</v>
    <v>107.01</v>
    <v>106.55</v>
    <v>106.55</v>
    <v>FXE</v>
    <v>Invesco:Euro (ARCX:FXE)</v>
    <v>93591</v>
    <v>81464</v>
  </rv>
  <rv s="2">
    <v>523</v>
  </rv>
  <rv s="0">
    <v>https://www.bing.com/financeapi/forcetrigger?t=a1tk6h&amp;q=ARCX%3aFXF&amp;form=skydnc</v>
    <v>Learn more on Bing</v>
  </rv>
  <rv s="1">
    <v>en-US</v>
    <v>a1tk6h</v>
    <v>268435456</v>
    <v>1</v>
    <v>Powered by Refinitiv</v>
    <v>0</v>
    <v>Invesco:Swiss Franc (ARCX:FXF)</v>
    <v>2</v>
    <v>3</v>
    <v>Finance</v>
    <v>5</v>
    <v>116.29989999999999</v>
    <v>107.39</v>
    <v>0.82569999999999999</v>
    <v>-0.1206</v>
    <v>0</v>
    <v>-1.1180000000000001E-3</v>
    <v>0</v>
    <v>USD</v>
    <v>NYSE Arca</v>
    <v>ARCX</v>
    <v>4.8999999999999998E-3</v>
    <v>107.97</v>
    <v>ETF</v>
    <v>46279.979194421096</v>
    <v>525</v>
    <v>107.58</v>
    <v>387141917.89999998</v>
    <v>Invesco:Swiss Franc</v>
    <v>107.69</v>
    <v>107.9</v>
    <v>107.7794</v>
    <v>107.7794</v>
    <v>FXF</v>
    <v>Invesco:Swiss Franc (ARCX:FXF)</v>
    <v>24195</v>
    <v>31706</v>
  </rv>
  <rv s="2">
    <v>526</v>
  </rv>
  <rv s="0">
    <v>https://www.bing.com/financeapi/forcetrigger?t=a1tjoc&amp;q=ARCX%3aFXC&amp;form=skydnc</v>
    <v>Learn more on Bing</v>
  </rv>
  <rv s="1">
    <v>en-US</v>
    <v>a1tjoc</v>
    <v>268435456</v>
    <v>1</v>
    <v>Powered by Refinitiv</v>
    <v>0</v>
    <v>Invesco:Canadian Dollar (ARCX:FXC)</v>
    <v>2</v>
    <v>3</v>
    <v>Finance</v>
    <v>5</v>
    <v>72.468999999999994</v>
    <v>68.64</v>
    <v>0.4607</v>
    <v>-0.19739999999999999</v>
    <v>0</v>
    <v>-2.7989999999999998E-3</v>
    <v>0</v>
    <v>USD</v>
    <v>NYSE Arca</v>
    <v>ARCX</v>
    <v>4.0000000000000001E-3</v>
    <v>70.34</v>
    <v>ETF</v>
    <v>46279.979173853906</v>
    <v>528</v>
    <v>70.19</v>
    <v>66980628.649999999</v>
    <v>Invesco:Canadian Dollar</v>
    <v>70.28</v>
    <v>70.52</v>
    <v>70.322599999999994</v>
    <v>70.322599999999994</v>
    <v>FXC</v>
    <v>Invesco:Canadian Dollar (ARCX:FXC)</v>
    <v>15009</v>
    <v>28528</v>
  </rv>
  <rv s="2">
    <v>529</v>
  </rv>
  <rv s="0">
    <v>https://www.bing.com/financeapi/forcetrigger?t=a1pi52&amp;q=ARCX%3aCEW&amp;form=skydnc</v>
    <v>Learn more on Bing</v>
  </rv>
  <rv s="1">
    <v>en-US</v>
    <v>a1pi52</v>
    <v>268435456</v>
    <v>1</v>
    <v>Powered by Refinitiv</v>
    <v>0</v>
    <v>WisdomTree:Em Curr Str (ARCX:CEW)</v>
    <v>2</v>
    <v>3</v>
    <v>Finance</v>
    <v>5</v>
    <v>20.555</v>
    <v>17.8</v>
    <v>0.53210000000000002</v>
    <v>-0.15</v>
    <v>0</v>
    <v>-7.4850000000000003E-3</v>
    <v>0</v>
    <v>USD</v>
    <v>NYSE Arca</v>
    <v>ARCX</v>
    <v>5.5000000000000005E-3</v>
    <v>19.95</v>
    <v>ETF</v>
    <v>46279.937500046093</v>
    <v>531</v>
    <v>19.89</v>
    <v>17867063.350000001</v>
    <v>WisdomTree:Em Curr Str</v>
    <v>19.91</v>
    <v>20.04</v>
    <v>19.89</v>
    <v>19.89</v>
    <v>CEW</v>
    <v>WisdomTree:Em Curr Str (ARCX:CEW)</v>
    <v>3087</v>
    <v>4585</v>
  </rv>
  <rv s="2">
    <v>532</v>
  </rv>
  <rv s="0">
    <v>https://www.bing.com/financeapi/forcetrigger?t=a2557w&amp;q=ARCX%3aUUP&amp;form=skydnc</v>
    <v>Learn more on Bing</v>
  </rv>
  <rv s="1">
    <v>en-US</v>
    <v>a2557w</v>
    <v>268435456</v>
    <v>1</v>
    <v>Powered by Refinitiv</v>
    <v>0</v>
    <v>Invesco DB USD Idx Bl (ARCX:UUP)</v>
    <v>2</v>
    <v>3</v>
    <v>Finance</v>
    <v>5</v>
    <v>28.6</v>
    <v>26.395</v>
    <v>-0.62239999999999995</v>
    <v>0.1</v>
    <v>0</v>
    <v>3.5630000000000002E-3</v>
    <v>0</v>
    <v>USD</v>
    <v>NYSE Arca</v>
    <v>ARCX</v>
    <v>6.9999999999999993E-3</v>
    <v>28.24</v>
    <v>ETF</v>
    <v>46279.979197395311</v>
    <v>534</v>
    <v>28.14</v>
    <v>297962165.86000001</v>
    <v>Invesco DB USD Idx Bl</v>
    <v>28.2</v>
    <v>28.07</v>
    <v>28.17</v>
    <v>28.17</v>
    <v>UUP</v>
    <v>Invesco DB USD Idx Bl (ARCX:UUP)</v>
    <v>1808582</v>
    <v>1288140</v>
  </rv>
  <rv s="2">
    <v>535</v>
  </rv>
  <rv s="0">
    <v>https://www.bing.com/financeapi/forcetrigger?t=bwhr5r&amp;q=OTCM%3aBITW&amp;form=skydnc</v>
    <v>Learn more on Bing</v>
  </rv>
  <rv s="11">
    <v>en-US</v>
    <v>bwhr5r</v>
    <v>268435456</v>
    <v>1</v>
    <v>Powered by Refinitiv</v>
    <v>26</v>
    <v>BITWISE 10 CRYPTO INDEX ETP (ARCX:BITW)</v>
    <v>2</v>
    <v>27</v>
    <v>Finance</v>
    <v>5</v>
    <v>86.7</v>
    <v>37.200000000000003</v>
    <v>1.0546</v>
    <v>-1.3630999999999999E-2</v>
    <v>2.0743000000000001E-2</v>
    <v>-0.70740000000000003</v>
    <v>USD</v>
    <v>NYSE Arca</v>
    <v>ARCX</v>
    <v>52.048999999999999</v>
    <v>ETF</v>
    <v>46279.979587568749</v>
    <v>537</v>
    <v>51.01</v>
    <v>BITWISE 10 CRYPTO INDEX ETP</v>
    <v>51.01</v>
    <v>50.842100000000002</v>
    <v>51.896700000000003</v>
    <v>51.189300000000003</v>
    <v>BITW</v>
    <v>BITWISE 10 CRYPTO INDEX ETP (ARCX:BITW)</v>
    <v>23865</v>
    <v>28318</v>
  </rv>
  <rv s="2">
    <v>538</v>
  </rv>
  <rv s="3">
    <v>en-US</v>
    <v>ce8mrw</v>
    <v>268435456</v>
    <v>1</v>
    <v>Powered by Refinitiv</v>
    <v>6</v>
    <v>ISHARES ETHEREUM TRUST ETF (XNAS:ETHA)</v>
    <v>7</v>
    <v>8</v>
    <v>Finance</v>
    <v>4</v>
    <v>36.04</v>
    <v>11.525</v>
    <v>0.01</v>
    <v>-9.389999999999999E-3</v>
    <v>5.2190000000000005E-4</v>
    <v>-0.18</v>
    <v>USD</v>
    <v>Nasdaq Stock Market</v>
    <v>XNAS</v>
    <v>2.3E-3</v>
    <v>19.239999999999998</v>
    <v>ETF</v>
    <v>46279.996257916406</v>
    <v>18.805</v>
    <v>8625501518.5799999</v>
    <v>ISHARES ETHEREUM TRUST ETF</v>
    <v>18.88</v>
    <v>19.16</v>
    <v>19.170000000000002</v>
    <v>18.989999999999998</v>
    <v>ETHA</v>
    <v>ISHARES ETHEREUM TRUST ETF (XNAS:ETHA)</v>
    <v>38716193</v>
    <v>43586653</v>
  </rv>
  <rv s="2">
    <v>540</v>
  </rv>
  <rv s="0">
    <v>https://www.bing.com/financeapi/forcetrigger?t=a1ykim&amp;q=ARCX%3aNLR&amp;form=skydnc</v>
    <v>Learn more on Bing</v>
  </rv>
  <rv s="1">
    <v>en-US</v>
    <v>a1ykim</v>
    <v>268435456</v>
    <v>1</v>
    <v>Powered by Refinitiv</v>
    <v>0</v>
    <v>VanEck:Urnium &amp; Nuclr (ARCX:NLR)</v>
    <v>2</v>
    <v>3</v>
    <v>Finance</v>
    <v>4</v>
    <v>168.1199</v>
    <v>101.92</v>
    <v>0.62150000000000005</v>
    <v>-3.69</v>
    <v>1.3063E-2</v>
    <v>-3.2591000000000002E-2</v>
    <v>1.43</v>
    <v>USD</v>
    <v>NYSE Arca</v>
    <v>ARCX</v>
    <v>5.1999999999999998E-3</v>
    <v>110.46</v>
    <v>ETF</v>
    <v>46279.993133205469</v>
    <v>542</v>
    <v>108.461</v>
    <v>4171431594.0700002</v>
    <v>VanEck:Urnium &amp; Nuclr</v>
    <v>110.11</v>
    <v>113.22</v>
    <v>109.53</v>
    <v>110.9</v>
    <v>NLR</v>
    <v>VanEck:Urnium &amp; Nuclr (ARCX:NLR)</v>
    <v>432173</v>
    <v>345782</v>
  </rv>
  <rv s="2">
    <v>543</v>
  </rv>
  <rv s="0">
    <v>https://www.bing.com/financeapi/forcetrigger?t=c2xccw&amp;q=ARCX%3aBOAT&amp;form=skydnc</v>
    <v>Learn more on Bing</v>
  </rv>
  <rv s="1">
    <v>en-US</v>
    <v>c2xccw</v>
    <v>268435456</v>
    <v>1</v>
    <v>Powered by Refinitiv</v>
    <v>0</v>
    <v>SONICSHARES GLOBAL SHIPPING ETF (ARCX:BOAT)</v>
    <v>2</v>
    <v>3</v>
    <v>Finance</v>
    <v>5</v>
    <v>52.4497</v>
    <v>29.12</v>
    <v>0.56279999999999997</v>
    <v>0.37</v>
    <v>6.4920000000000004E-3</v>
    <v>7.1149999999999998E-3</v>
    <v>0.34</v>
    <v>USD</v>
    <v>NYSE Arca</v>
    <v>ARCX</v>
    <v>6.8999999999999999E-3</v>
    <v>52.4497</v>
    <v>ETF</v>
    <v>46279.984079409376</v>
    <v>545</v>
    <v>51.55</v>
    <v>97938851.260000005</v>
    <v>SONICSHARES GLOBAL SHIPPING ETF</v>
    <v>52.23</v>
    <v>52</v>
    <v>52.37</v>
    <v>52.71</v>
    <v>BOAT</v>
    <v>SONICSHARES GLOBAL SHIPPING ETF (ARCX:BOAT)</v>
    <v>144973</v>
    <v>48440</v>
  </rv>
  <rv s="2">
    <v>546</v>
  </rv>
  <rv s="0">
    <v>https://www.bing.com/financeapi/forcetrigger?t=c5o9nm&amp;q=BATS%3aUVIX&amp;form=skydnc</v>
    <v>Learn more on Bing</v>
  </rv>
  <rv s="1">
    <v>en-US</v>
    <v>c5o9nm</v>
    <v>268435456</v>
    <v>1</v>
    <v>Powered by Refinitiv</v>
    <v>0</v>
    <v>2X LONG VIX FUTURES ETF (BATS:UVIX)</v>
    <v>2</v>
    <v>3</v>
    <v>Finance</v>
    <v>4</v>
    <v>292.91800000000001</v>
    <v>36.5398</v>
    <v>-5.0846999999999998</v>
    <v>0.55500000000000005</v>
    <v>3.0359999999999996E-3</v>
    <v>1.4173999999999999E-2</v>
    <v>0.12</v>
    <v>USD</v>
    <v>CBOE BZX Exchange</v>
    <v>BATS</v>
    <v>2.07E-2</v>
    <v>41.7</v>
    <v>ETF</v>
    <v>46279.996593205469</v>
    <v>548</v>
    <v>39.26</v>
    <v>182416915.40000001</v>
    <v>2X LONG VIX FUTURES ETF</v>
    <v>41.53</v>
    <v>39.155000000000001</v>
    <v>39.71</v>
    <v>39.65</v>
    <v>UVIX</v>
    <v>2X LONG VIX FUTURES ETF (BATS:UVIX)</v>
    <v>3383162</v>
    <v>1853059</v>
  </rv>
  <rv s="2">
    <v>549</v>
  </rv>
  <rv s="0">
    <v>https://www.bing.com/financeapi/forcetrigger?t=a255p2&amp;q=BATS%3aUVXY&amp;form=skydnc</v>
    <v>Learn more on Bing</v>
  </rv>
  <rv s="1">
    <v>en-US</v>
    <v>a255p2</v>
    <v>268435456</v>
    <v>1</v>
    <v>Powered by Refinitiv</v>
    <v>0</v>
    <v>PROSHARES ULTRA VIX SHORT TERM ETF (BATS:UVXY)</v>
    <v>2</v>
    <v>3</v>
    <v>Finance</v>
    <v>4</v>
    <v>70.599999999999994</v>
    <v>17.07</v>
    <v>-3.9447999999999999</v>
    <v>0.19</v>
    <v>-2.7429999999999998E-3</v>
    <v>1.0544E-2</v>
    <v>-0.05</v>
    <v>USD</v>
    <v>CBOE BZX Exchange</v>
    <v>BATS</v>
    <v>1.7500000000000002E-2</v>
    <v>18.899999999999999</v>
    <v>ETF</v>
    <v>46279.99677600625</v>
    <v>551</v>
    <v>18.04</v>
    <v>291475146.25</v>
    <v>PROSHARES ULTRA VIX SHORT TERM ETF</v>
    <v>18.84</v>
    <v>18.02</v>
    <v>18.21</v>
    <v>18.18</v>
    <v>UVXY</v>
    <v>PROSHARES ULTRA VIX SHORT TERM ETF (BATS:UVXY)</v>
    <v>8520986</v>
    <v>6670716</v>
  </rv>
  <rv s="2">
    <v>552</v>
  </rv>
  <rv s="0">
    <v>https://www.bing.com/financeapi/forcetrigger?t=a25dp2&amp;q=BATS%3aVIXY&amp;form=skydnc</v>
    <v>Learn more on Bing</v>
  </rv>
  <rv s="1">
    <v>en-US</v>
    <v>a25dp2</v>
    <v>268435456</v>
    <v>1</v>
    <v>Powered by Refinitiv</v>
    <v>0</v>
    <v>ProShs II:VIX ST Fut (BATS:VIXY)</v>
    <v>2</v>
    <v>3</v>
    <v>Finance</v>
    <v>13</v>
    <v>39.700000000000003</v>
    <v>16.47</v>
    <v>-2.7105000000000001</v>
    <v>0.19</v>
    <v>-4.3450000000000004E-4</v>
    <v>1.0983E-2</v>
    <v>-7.6E-3</v>
    <v>USD</v>
    <v>CBOE BZX Exchange</v>
    <v>BATS</v>
    <v>1.1899999999999999E-2</v>
    <v>17.93</v>
    <v>ETF</v>
    <v>46279.983861863278</v>
    <v>554</v>
    <v>17.375</v>
    <v>213071845.91</v>
    <v>ProShs II:VIX ST Fut</v>
    <v>17.88</v>
    <v>17.3</v>
    <v>17.489999999999998</v>
    <v>17.482399999999998</v>
    <v>VIXY</v>
    <v>ProShs II:VIX ST Fut (BATS:VIXY)</v>
    <v>2384495</v>
    <v>2323170</v>
  </rv>
  <rv s="2">
    <v>555</v>
  </rv>
  <rv s="12">
    <v>en-US</v>
    <v>ccr25r</v>
    <v>268435456</v>
    <v>1</v>
    <v>Powered by Refinitiv</v>
    <v>28</v>
    <v>DESTINY TECH100 INC. (XNYS:DXYZ)</v>
    <v>29</v>
    <v>30</v>
    <v>Finance</v>
    <v>18</v>
    <v>72.87</v>
    <v>19.7105</v>
    <v>-0.49</v>
    <v>-6.3350000000000006E-4</v>
    <v>-1.5260000000000001E-2</v>
    <v>-0.02</v>
    <v>USD</v>
    <v>Destiny Tech100 Inc. (the Fund) is a non-diversified, closed-end management investment company. The Fund’s investment objective is to maximize the portfolio’s total return, principally by seeking capital gains on equity and equity-related investments. Under normal market conditions, the Fund will invest at least 80% of its total assets in equity and equity-linked securities of companies principally engaged in the technology sector. The Fund will invest in the equity and equity-linked securities of what it believes to be rapidly growing venture-capital-backed emerging companies, located in the United States. The Fund may also invest on an opportunistic basis in select United States publicly traded equity securities or certain non-United States companies that otherwise meet its investment criteria. It concentrates its investments in companies operating in one or more industries within the technology group of industries. Destiny Advisors LLC serves as the investment adviser to the Fund.</v>
    <v>New York Stock Exchange</v>
    <v>XNYS</v>
    <v>XNYS</v>
    <v>1401 Lavaca Street #144, AUSTIN, TX, 78701 US</v>
    <v>31.66</v>
    <v>Collective Investments</v>
    <v>Stock</v>
    <v>46279.993576330467</v>
    <v>30.24</v>
    <v>DESTINY TECH100 INC.</v>
    <v>DESTINY TECH100 INC.</v>
    <v>30.4</v>
    <v>5.1233000000000004</v>
    <v>32.11</v>
    <v>31.62</v>
    <v>31.55</v>
    <v>21976310</v>
    <v>DXYZ</v>
    <v>DESTINY TECH100 INC. (XNYS:DXYZ)</v>
    <v>854750</v>
    <v>1258265</v>
    <v>2020</v>
  </rv>
  <rv s="2">
    <v>557</v>
  </rv>
  <rv s="0">
    <v>https://www.bing.com/financeapi/forcetrigger?t=a25nqh&amp;q=ARCX%3aVXF&amp;form=skydnc</v>
    <v>Learn more on Bing</v>
  </rv>
  <rv s="1">
    <v>en-US</v>
    <v>a25nqh</v>
    <v>268435456</v>
    <v>1</v>
    <v>Powered by Refinitiv</v>
    <v>0</v>
    <v>VANGUARD EXTENDED MARKET ETF (ARCX:VXF)</v>
    <v>2</v>
    <v>3</v>
    <v>Finance</v>
    <v>5</v>
    <v>250.75</v>
    <v>195.90360000000001</v>
    <v>0.83689999999999998</v>
    <v>-0.84</v>
    <v>-3.039E-3</v>
    <v>-3.5330000000000001E-3</v>
    <v>-0.72</v>
    <v>USD</v>
    <v>NYSE Arca</v>
    <v>ARCX</v>
    <v>5.0000000000000001E-4</v>
    <v>238.11</v>
    <v>ETF</v>
    <v>46279.979197765628</v>
    <v>559</v>
    <v>235.58</v>
    <v>31394954950</v>
    <v>VANGUARD EXTENDED MARKET ETF</v>
    <v>235.58</v>
    <v>237.76</v>
    <v>236.92</v>
    <v>236.2</v>
    <v>VXF</v>
    <v>VANGUARD EXTENDED MARKET ETF (ARCX:VXF)</v>
    <v>365565</v>
    <v>317246</v>
  </rv>
  <rv s="2">
    <v>560</v>
  </rv>
  <rv s="0">
    <v>https://www.bing.com/financeapi/forcetrigger?t=bwgbur&amp;q=XNAS%3aQQQJ&amp;form=skydnc</v>
    <v>Learn more on Bing</v>
  </rv>
  <rv s="1">
    <v>en-US</v>
    <v>bwgbur</v>
    <v>268435456</v>
    <v>1</v>
    <v>Powered by Refinitiv</v>
    <v>0</v>
    <v>INVESCO NASDAQ NEXT GEN 100 ETF (XNAS:QQQJ)</v>
    <v>2</v>
    <v>3</v>
    <v>Finance</v>
    <v>4</v>
    <v>46.94</v>
    <v>34.3902</v>
    <v>1.1910000000000001</v>
    <v>0.04</v>
    <v>9.2449999999999997E-3</v>
    <v>9.0269999999999999E-4</v>
    <v>0.41</v>
    <v>USD</v>
    <v>Nasdaq Stock Market</v>
    <v>XNAS</v>
    <v>1.5E-3</v>
    <v>44.6</v>
    <v>ETF</v>
    <v>46279.991393703123</v>
    <v>562</v>
    <v>44.03</v>
    <v>1185444752.7</v>
    <v>INVESCO NASDAQ NEXT GEN 100 ETF</v>
    <v>44.13</v>
    <v>44.31</v>
    <v>44.35</v>
    <v>44.76</v>
    <v>QQQJ</v>
    <v>INVESCO NASDAQ NEXT GEN 100 ETF (XNAS:QQQJ)</v>
    <v>101602</v>
    <v>146904</v>
  </rv>
  <rv s="2">
    <v>563</v>
  </rv>
  <rv s="0">
    <v>https://www.bing.com/financeapi/forcetrigger?t=ayqfa2&amp;q=ARCX%3aFNGD&amp;form=skydnc</v>
    <v>Learn more on Bing</v>
  </rv>
  <rv s="13">
    <v>en-US</v>
    <v>ayqfa2</v>
    <v>268435456</v>
    <v>1</v>
    <v>Powered by Refinitiv</v>
    <v>31</v>
    <v>BANK OF MONTREAL (ARCX:FNGD)</v>
    <v>16</v>
    <v>32</v>
    <v>Finance</v>
    <v>33</v>
    <v>87.38</v>
    <v>25.25</v>
    <v>1.1234999999999999</v>
    <v>-0.25</v>
    <v>0</v>
    <v>-9.3109999999999998E-3</v>
    <v>0</v>
    <v>USD</v>
    <v>Bank of Montreal (the Bank) is a North American bank. The Bank provides a broad range of personal and commercial banking, wealth management, global markets and investment banking products and services. The Bank serves about 13 million customers across North America, and in select markets globally, through three integrated operating groups: Personal and Commercial Banking (P&amp;C), BMO Wealth Management and BMO Capital Markets. The P&amp;C operating group represents the sum of its two retail and commercial operating segments, Canadian Personal and Commercial Banking (Canadian P&amp;C) and U.S. Personal and Commercial Banking (U.S. P&amp;C). BMO Wealth Management serves a full range of clients, from individuals and families to business owners and institutions, offering a wide spectrum of wealth, asset management and insurance products and services. BMO Capital Markets offers a comprehensive range of products and services to corporate, institutional and government clients.</v>
    <v>53000</v>
    <v>NYSE Arca</v>
    <v>ARCX</v>
    <v>ARCX</v>
    <v>1 First Canadian Place, TORONTO, ON, M5X 1A1 CA</v>
    <v>27.7</v>
    <v>Banking Services</v>
    <v>Stock</v>
    <v>46279.97919672422</v>
    <v>565</v>
    <v>26.28</v>
    <v>168539000000</v>
    <v>BANK OF MONTREAL</v>
    <v>BANK OF MONTREAL</v>
    <v>27.37</v>
    <v>26.85</v>
    <v>26.6</v>
    <v>26.6</v>
    <v>695092200</v>
    <v>FNGD</v>
    <v>BANK OF MONTREAL (ARCX:FNGD)</v>
    <v>429899</v>
    <v>338000</v>
    <v>1995</v>
  </rv>
  <rv s="2">
    <v>566</v>
  </rv>
  <rv s="0">
    <v>https://www.bing.com/financeapi/forcetrigger?t=a23hc7&amp;q=ARCX%3aSPXS&amp;form=skydnc</v>
    <v>Learn more on Bing</v>
  </rv>
  <rv s="1">
    <v>en-US</v>
    <v>a23hc7</v>
    <v>268435456</v>
    <v>1</v>
    <v>Powered by Refinitiv</v>
    <v>0</v>
    <v>Direxion:S&amp;P 500 Bear 3X (ARCX:SPXS)</v>
    <v>2</v>
    <v>3</v>
    <v>Finance</v>
    <v>4</v>
    <v>44.83</v>
    <v>23.4009</v>
    <v>-2.9016999999999999</v>
    <v>0.34499999999999997</v>
    <v>-3.9390000000000003E-4</v>
    <v>1.3772E-2</v>
    <v>-0.01</v>
    <v>USD</v>
    <v>NYSE Arca</v>
    <v>ARCX</v>
    <v>1.04E-2</v>
    <v>25.6783</v>
    <v>ETF</v>
    <v>46279.99488398125</v>
    <v>568</v>
    <v>25.13</v>
    <v>339081993.31999999</v>
    <v>Direxion:S&amp;P 500 Bear 3X</v>
    <v>25.57</v>
    <v>25.05</v>
    <v>25.395</v>
    <v>25.38</v>
    <v>SPXS</v>
    <v>Direxion:S&amp;P 500 Bear 3X (ARCX:SPXS)</v>
    <v>15118351</v>
    <v>11271937</v>
  </rv>
  <rv s="2">
    <v>569</v>
  </rv>
  <rv s="0">
    <v>https://www.bing.com/financeapi/forcetrigger?t=a23imw&amp;q=XNAS%3aSQQQ&amp;form=skydnc</v>
    <v>Learn more on Bing</v>
  </rv>
  <rv s="1">
    <v>en-US</v>
    <v>a23imw</v>
    <v>268435456</v>
    <v>1</v>
    <v>Powered by Refinitiv</v>
    <v>0</v>
    <v>ProShares:UltP Sht QQQ (XNAS:SQQQ)</v>
    <v>2</v>
    <v>3</v>
    <v>Finance</v>
    <v>4</v>
    <v>90.715000000000003</v>
    <v>35.72</v>
    <v>-2.9992999999999999</v>
    <v>0.96</v>
    <v>-1.039E-3</v>
    <v>2.4698000000000001E-2</v>
    <v>-4.1399999999999999E-2</v>
    <v>USD</v>
    <v>Nasdaq Stock Market</v>
    <v>XNAS</v>
    <v>9.3999999999999986E-3</v>
    <v>40.880000000000003</v>
    <v>ETF</v>
    <v>46279.996739560156</v>
    <v>571</v>
    <v>39.21</v>
    <v>1935680054.3499999</v>
    <v>ProShares:UltP Sht QQQ</v>
    <v>40.774999999999999</v>
    <v>38.869999999999997</v>
    <v>39.83</v>
    <v>39.788600000000002</v>
    <v>SQQQ</v>
    <v>ProShares:UltP Sht QQQ (XNAS:SQQQ)</v>
    <v>45504709</v>
    <v>40884242</v>
  </rv>
  <rv s="2">
    <v>572</v>
  </rv>
  <rv s="0">
    <v>https://www.bing.com/financeapi/forcetrigger?t=a24q6h&amp;q=ARCX%3aTZA&amp;form=skydnc</v>
    <v>Learn more on Bing</v>
  </rv>
  <rv s="1">
    <v>en-US</v>
    <v>a24q6h</v>
    <v>268435456</v>
    <v>1</v>
    <v>Powered by Refinitiv</v>
    <v>0</v>
    <v>Direxion:Sm Cap Bear 3X (ARCX:TZA)</v>
    <v>2</v>
    <v>3</v>
    <v>Finance</v>
    <v>4</v>
    <v>95.4</v>
    <v>36.33</v>
    <v>-3.0041000000000002</v>
    <v>0.46</v>
    <v>-5.7629999999999997E-4</v>
    <v>1.0714999999999999E-2</v>
    <v>-2.5000000000000001E-2</v>
    <v>USD</v>
    <v>NYSE Arca</v>
    <v>ARCX</v>
    <v>9.8999999999999991E-3</v>
    <v>43.75</v>
    <v>ETF</v>
    <v>46279.996159374998</v>
    <v>574</v>
    <v>42.52</v>
    <v>235116846.34</v>
    <v>Direxion:Sm Cap Bear 3X</v>
    <v>43.59</v>
    <v>42.93</v>
    <v>43.39</v>
    <v>43.354999999999997</v>
    <v>TZA</v>
    <v>Direxion:Sm Cap Bear 3X (ARCX:TZA)</v>
    <v>6261933</v>
    <v>4048245</v>
  </rv>
  <rv s="2">
    <v>575</v>
  </rv>
  <rv s="0">
    <v>https://www.bing.com/financeapi/forcetrigger?t=a22f1h&amp;q=ARCX%3aRYU&amp;form=skydnc</v>
    <v>Learn more on Bing</v>
  </rv>
  <rv s="1">
    <v>en-US</v>
    <v>a22f1h</v>
    <v>268435456</v>
    <v>1</v>
    <v>Powered by Refinitiv</v>
    <v>0</v>
    <v>Invesco S&amp;P500 EW Ut (ARCX:RSPU)</v>
    <v>2</v>
    <v>3</v>
    <v>Finance</v>
    <v>4</v>
    <v>84.519499999999994</v>
    <v>73.380099999999999</v>
    <v>0.95079999999999998</v>
    <v>-0.92889999999999995</v>
    <v>-1.7539999999999999E-3</v>
    <v>-1.2381999999999999E-2</v>
    <v>-0.13</v>
    <v>USD</v>
    <v>NYSE Arca</v>
    <v>ARCX</v>
    <v>4.0000000000000001E-3</v>
    <v>75.08</v>
    <v>ETF</v>
    <v>46279.991641921093</v>
    <v>577</v>
    <v>74.040000000000006</v>
    <v>512206185.18000001</v>
    <v>Invesco S&amp;P500 EW Ut</v>
    <v>75.08</v>
    <v>75.018900000000002</v>
    <v>74.09</v>
    <v>74</v>
    <v>RSPU</v>
    <v>Invesco S&amp;P500 EW Ut (ARCX:RSPU)</v>
    <v>21760</v>
    <v>53189</v>
  </rv>
  <rv s="2">
    <v>578</v>
  </rv>
  <rv s="0">
    <v>https://www.bing.com/financeapi/forcetrigger?t=a22ear&amp;q=ARCX%3aRYF&amp;form=skydnc</v>
    <v>Learn more on Bing</v>
  </rv>
  <rv s="1">
    <v>en-US</v>
    <v>a22ear</v>
    <v>268435456</v>
    <v>1</v>
    <v>Powered by Refinitiv</v>
    <v>0</v>
    <v>Invesco S&amp;P500 EW Fn (ARCX:RSPF)</v>
    <v>2</v>
    <v>3</v>
    <v>Finance</v>
    <v>5</v>
    <v>86.03</v>
    <v>69.040000000000006</v>
    <v>1.0565</v>
    <v>0.34100000000000003</v>
    <v>0</v>
    <v>4.1089999999999998E-3</v>
    <v>0</v>
    <v>USD</v>
    <v>NYSE Arca</v>
    <v>ARCX</v>
    <v>4.0000000000000001E-3</v>
    <v>83.72</v>
    <v>ETF</v>
    <v>46279.979194015628</v>
    <v>580</v>
    <v>83.06</v>
    <v>309995937.56</v>
    <v>Invesco S&amp;P500 EW Fn</v>
    <v>83.1</v>
    <v>82.979100000000003</v>
    <v>83.320099999999996</v>
    <v>83.320099999999996</v>
    <v>RSPF</v>
    <v>Invesco S&amp;P500 EW Fn (ARCX:RSPF)</v>
    <v>8776</v>
    <v>16324</v>
  </rv>
  <rv s="2">
    <v>581</v>
  </rv>
  <rv s="0">
    <v>https://www.bing.com/financeapi/forcetrigger?t=bnt7hw&amp;q=ARCX%3aEWCO&amp;form=skydnc</v>
    <v>Learn more on Bing</v>
  </rv>
  <rv s="1">
    <v>en-US</v>
    <v>bnt7hw</v>
    <v>268435456</v>
    <v>1</v>
    <v>Powered by Refinitiv</v>
    <v>0</v>
    <v>INVESCO S AND P 500 EQ WGHT ETF (ARCX:RSPC)</v>
    <v>2</v>
    <v>3</v>
    <v>Finance</v>
    <v>5</v>
    <v>41.47</v>
    <v>34.5</v>
    <v>0.76590000000000003</v>
    <v>0.79359999999999997</v>
    <v>0</v>
    <v>2.1505999999999997E-2</v>
    <v>0</v>
    <v>USD</v>
    <v>NYSE Arca</v>
    <v>ARCX</v>
    <v>4.0000000000000001E-3</v>
    <v>37.734999999999999</v>
    <v>ETF</v>
    <v>46279.979187835153</v>
    <v>583</v>
    <v>37.14</v>
    <v>57591373.75</v>
    <v>INVESCO S AND P 500 EQ WGHT ETF</v>
    <v>37.14</v>
    <v>36.901299999999999</v>
    <v>37.694899999999997</v>
    <v>37.694899999999997</v>
    <v>RSPC</v>
    <v>INVESCO S AND P 500 EQ WGHT ETF (ARCX:RSPC)</v>
    <v>5776</v>
    <v>6309</v>
  </rv>
  <rv s="2">
    <v>584</v>
  </rv>
  <rv s="0">
    <v>https://www.bing.com/financeapi/forcetrigger?t=a21yfr&amp;q=ARCX%3aRGI&amp;form=skydnc</v>
    <v>Learn more on Bing</v>
  </rv>
  <rv s="1">
    <v>en-US</v>
    <v>a21yfr</v>
    <v>268435456</v>
    <v>1</v>
    <v>Powered by Refinitiv</v>
    <v>0</v>
    <v>Invesco S&amp;P500 EW In (ARCX:RSPN)</v>
    <v>2</v>
    <v>3</v>
    <v>Finance</v>
    <v>5</v>
    <v>65.492999999999995</v>
    <v>53.465000000000003</v>
    <v>0.98599999999999999</v>
    <v>-0.21</v>
    <v>2.1779999999999998E-3</v>
    <v>-3.5060000000000004E-3</v>
    <v>0.13</v>
    <v>USD</v>
    <v>NYSE Arca</v>
    <v>ARCX</v>
    <v>4.0000000000000001E-3</v>
    <v>59.8</v>
    <v>ETF</v>
    <v>46279.979197383596</v>
    <v>586</v>
    <v>59.18</v>
    <v>1037000261.8</v>
    <v>Invesco S&amp;P500 EW In</v>
    <v>59.18</v>
    <v>59.9</v>
    <v>59.69</v>
    <v>59.82</v>
    <v>RSPN</v>
    <v>Invesco S&amp;P500 EW In (ARCX:RSPN)</v>
    <v>543151</v>
    <v>256405</v>
  </rv>
  <rv s="2">
    <v>587</v>
  </rv>
  <rv s="0">
    <v>https://www.bing.com/financeapi/forcetrigger?t=a22edm&amp;q=ARCX%3aRYH&amp;form=skydnc</v>
    <v>Learn more on Bing</v>
  </rv>
  <rv s="1">
    <v>en-US</v>
    <v>a22edm</v>
    <v>268435456</v>
    <v>1</v>
    <v>Powered by Refinitiv</v>
    <v>0</v>
    <v>Invesco S&amp;P500 EW HC (ARCX:RSPH)</v>
    <v>2</v>
    <v>3</v>
    <v>Finance</v>
    <v>5</v>
    <v>38.19</v>
    <v>28.26</v>
    <v>1.0381</v>
    <v>0.5</v>
    <v>0</v>
    <v>1.3857999999999999E-2</v>
    <v>0</v>
    <v>USD</v>
    <v>NYSE Arca</v>
    <v>ARCX</v>
    <v>4.0000000000000001E-3</v>
    <v>36.634799999999998</v>
    <v>ETF</v>
    <v>46279.979179258597</v>
    <v>589</v>
    <v>36.29</v>
    <v>832259320.88999999</v>
    <v>Invesco S&amp;P500 EW HC</v>
    <v>36.479999999999997</v>
    <v>36.08</v>
    <v>36.58</v>
    <v>36.58</v>
    <v>RSPH</v>
    <v>Invesco S&amp;P500 EW HC (ARCX:RSPH)</v>
    <v>170667</v>
    <v>146161</v>
  </rv>
  <rv s="2">
    <v>590</v>
  </rv>
  <rv s="0">
    <v>https://www.bing.com/financeapi/forcetrigger?t=a21zkr&amp;q=ARCX%3aRHS&amp;form=skydnc</v>
    <v>Learn more on Bing</v>
  </rv>
  <rv s="1">
    <v>en-US</v>
    <v>a21zkr</v>
    <v>268435456</v>
    <v>1</v>
    <v>Powered by Refinitiv</v>
    <v>0</v>
    <v>Invesco S&amp;P500 EW CS (ARCX:RSPS)</v>
    <v>2</v>
    <v>3</v>
    <v>Finance</v>
    <v>5</v>
    <v>33.369999999999997</v>
    <v>28.21</v>
    <v>0.92820000000000003</v>
    <v>0.28999999999999998</v>
    <v>0</v>
    <v>9.6469999999999993E-3</v>
    <v>0</v>
    <v>USD</v>
    <v>NYSE Arca</v>
    <v>ARCX</v>
    <v>4.0000000000000001E-3</v>
    <v>30.594999999999999</v>
    <v>ETF</v>
    <v>46279.979171527346</v>
    <v>592</v>
    <v>30.35</v>
    <v>247394297.03999999</v>
    <v>Invesco S&amp;P500 EW CS</v>
    <v>30.36</v>
    <v>30.06</v>
    <v>30.35</v>
    <v>30.35</v>
    <v>RSPS</v>
    <v>Invesco S&amp;P500 EW CS (ARCX:RSPS)</v>
    <v>170836</v>
    <v>66077</v>
  </rv>
  <rv s="2">
    <v>593</v>
  </rv>
  <rv s="0">
    <v>https://www.bing.com/financeapi/forcetrigger?t=a22e7w&amp;q=ARCX%3aRYE&amp;form=skydnc</v>
    <v>Learn more on Bing</v>
  </rv>
  <rv s="1">
    <v>en-US</v>
    <v>a22e7w</v>
    <v>268435456</v>
    <v>1</v>
    <v>Powered by Refinitiv</v>
    <v>0</v>
    <v>Invesco S&amp;P500 EW En (ARCX:RSPG)</v>
    <v>2</v>
    <v>3</v>
    <v>Finance</v>
    <v>5</v>
    <v>118.1477</v>
    <v>74.430000000000007</v>
    <v>1.0427999999999999</v>
    <v>-1.325</v>
    <v>0</v>
    <v>-1.1417999999999999E-2</v>
    <v>0</v>
    <v>USD</v>
    <v>NYSE Arca</v>
    <v>ARCX</v>
    <v>4.0000000000000001E-3</v>
    <v>117.4</v>
    <v>ETF</v>
    <v>46279.979179478905</v>
    <v>595</v>
    <v>114.14</v>
    <v>635454662.38</v>
    <v>Invesco S&amp;P500 EW En</v>
    <v>117.28</v>
    <v>116.04</v>
    <v>114.715</v>
    <v>114.715</v>
    <v>RSPG</v>
    <v>Invesco S&amp;P500 EW En (ARCX:RSPG)</v>
    <v>105425</v>
    <v>82155</v>
  </rv>
  <rv s="2">
    <v>596</v>
  </rv>
  <rv s="0">
    <v>https://www.bing.com/financeapi/forcetrigger?t=a1sgbh&amp;q=ARCX%3aEWRE&amp;form=skydnc</v>
    <v>Learn more on Bing</v>
  </rv>
  <rv s="1">
    <v>en-US</v>
    <v>a1sgbh</v>
    <v>268435456</v>
    <v>1</v>
    <v>Powered by Refinitiv</v>
    <v>0</v>
    <v>INVSC SP 500 EQUAL WGHT REAL EST ETF (ARCX:RSPR)</v>
    <v>2</v>
    <v>3</v>
    <v>Finance</v>
    <v>5</v>
    <v>38.01</v>
    <v>32.409999999999997</v>
    <v>0.93610000000000004</v>
    <v>-5.5899999999999998E-2</v>
    <v>0</v>
    <v>-1.586E-3</v>
    <v>0</v>
    <v>USD</v>
    <v>NYSE Arca</v>
    <v>ARCX</v>
    <v>4.0000000000000001E-3</v>
    <v>35.270000000000003</v>
    <v>ETF</v>
    <v>46279.979174421096</v>
    <v>598</v>
    <v>34.93</v>
    <v>96394153.620000005</v>
    <v>INVSC SP 500 EQUAL WGHT REAL EST ETF</v>
    <v>34.93</v>
    <v>35.235100000000003</v>
    <v>35.179200000000002</v>
    <v>35.179200000000002</v>
    <v>RSPR</v>
    <v>INVSC SP 500 EQUAL WGHT REAL EST ETF (ARCX:RSPR)</v>
    <v>2794</v>
    <v>12527</v>
  </rv>
  <rv s="2">
    <v>599</v>
  </rv>
  <rv s="0">
    <v>https://www.bing.com/financeapi/forcetrigger?t=a21rhw&amp;q=ARCX%3aRCD&amp;form=skydnc</v>
    <v>Learn more on Bing</v>
  </rv>
  <rv s="1">
    <v>en-US</v>
    <v>a21rhw</v>
    <v>268435456</v>
    <v>1</v>
    <v>Powered by Refinitiv</v>
    <v>0</v>
    <v>Invesco S&amp;P500 EW CD (ARCX:RSPD)</v>
    <v>2</v>
    <v>3</v>
    <v>Finance</v>
    <v>5</v>
    <v>60.34</v>
    <v>50.965000000000003</v>
    <v>0.94289999999999996</v>
    <v>0.45</v>
    <v>0</v>
    <v>8.3689999999999997E-3</v>
    <v>0</v>
    <v>USD</v>
    <v>NYSE Arca</v>
    <v>ARCX</v>
    <v>4.0000000000000001E-3</v>
    <v>54.3</v>
    <v>ETF</v>
    <v>46279.979176365625</v>
    <v>601</v>
    <v>53.77</v>
    <v>303727117.10000002</v>
    <v>Invesco S&amp;P500 EW CD</v>
    <v>54.085000000000001</v>
    <v>53.77</v>
    <v>54.22</v>
    <v>54.22</v>
    <v>RSPD</v>
    <v>Invesco S&amp;P500 EW CD (ARCX:RSPD)</v>
    <v>65456</v>
    <v>66587</v>
  </rv>
  <rv s="2">
    <v>602</v>
  </rv>
  <rv s="0">
    <v>https://www.bing.com/financeapi/forcetrigger?t=a22eur&amp;q=ARCX%3aRYT&amp;form=skydnc</v>
    <v>Learn more on Bing</v>
  </rv>
  <rv s="1">
    <v>en-US</v>
    <v>a22eur</v>
    <v>268435456</v>
    <v>1</v>
    <v>Powered by Refinitiv</v>
    <v>0</v>
    <v>Invesco S&amp;P500 EW Tc (ARCX:RSPT)</v>
    <v>2</v>
    <v>3</v>
    <v>Finance</v>
    <v>5</v>
    <v>67.489999999999995</v>
    <v>41.45</v>
    <v>1.1863999999999999</v>
    <v>-0.86</v>
    <v>-1.5650000000000001E-4</v>
    <v>-1.3278000000000002E-2</v>
    <v>-0.01</v>
    <v>USD</v>
    <v>NYSE Arca</v>
    <v>ARCX</v>
    <v>4.0000000000000001E-3</v>
    <v>64.38</v>
    <v>ETF</v>
    <v>46279.979180485934</v>
    <v>604</v>
    <v>63.31</v>
    <v>5916880407.4499998</v>
    <v>Invesco S&amp;P500 EW Tc</v>
    <v>63.54</v>
    <v>64.77</v>
    <v>63.91</v>
    <v>63.9</v>
    <v>RSPT</v>
    <v>Invesco S&amp;P500 EW Tc (ARCX:RSPT)</v>
    <v>426850</v>
    <v>457335</v>
  </rv>
  <rv s="2">
    <v>605</v>
  </rv>
  <rv s="0">
    <v>https://www.bing.com/financeapi/forcetrigger?t=a22ap2&amp;q=ARCX%3aRTM&amp;form=skydnc</v>
    <v>Learn more on Bing</v>
  </rv>
  <rv s="1">
    <v>en-US</v>
    <v>a22ap2</v>
    <v>268435456</v>
    <v>1</v>
    <v>Powered by Refinitiv</v>
    <v>0</v>
    <v>Invesco S&amp;P500 EW Mt (ARCX:RSPM)</v>
    <v>2</v>
    <v>3</v>
    <v>Finance</v>
    <v>5</v>
    <v>41.71</v>
    <v>30.98</v>
    <v>0.97560000000000002</v>
    <v>-0.34</v>
    <v>0</v>
    <v>-8.6820000000000005E-3</v>
    <v>0</v>
    <v>USD</v>
    <v>NYSE Arca</v>
    <v>ARCX</v>
    <v>4.0000000000000001E-3</v>
    <v>39.1</v>
    <v>ETF</v>
    <v>46279.97918387656</v>
    <v>607</v>
    <v>38.75</v>
    <v>189627146.84</v>
    <v>Invesco S&amp;P500 EW Mt</v>
    <v>39.020000000000003</v>
    <v>39.159999999999997</v>
    <v>38.82</v>
    <v>38.82</v>
    <v>RSPM</v>
    <v>Invesco S&amp;P500 EW Mt (ARCX:RSPM)</v>
    <v>79177</v>
    <v>30264</v>
  </rv>
  <rv s="2">
    <v>608</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
    <k n="%cvi" t="r"/>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k n="Country/region" t="s"/>
    <k n="High"/>
    <k n="Instrument type" t="s"/>
    <k n="LearnMoreOnLink" t="r"/>
    <k n="Low"/>
    <k n="Name" t="s"/>
    <k n="Open"/>
    <k n="Previous close"/>
    <k n="Price"/>
    <k n="Ticker symbol" t="s"/>
    <k n="UniqueName"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Exchange" t="s"/>
    <k n="Exchange abbreviation" t="s"/>
    <k n="High"/>
    <k n="Instrument type" t="s"/>
    <k n="Last trade time"/>
    <k n="LearnMoreOnLink" t="r"/>
    <k n="Low"/>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Description" t="s"/>
    <k n="Exchange" t="s"/>
    <k n="Exchange abbreviation" t="s"/>
    <k n="ExchangeID" t="s"/>
    <k n="Headquarters" t="s"/>
    <k n="High"/>
    <k n="Industry" t="s"/>
    <k n="Instrument type" t="s"/>
    <k n="Last trade time"/>
    <k n="Low"/>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10">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35">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6">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%ProviderInfo</v>
    </a>
    <a count="38">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v t="s">%OutdatedReason</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34">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Instrument type</v>
      <v t="s">_Flags</v>
      <v t="s">UniqueName</v>
      <v t="s">_DisplayString</v>
      <v t="s">LearnMoreOnLink</v>
      <v t="s">%ProviderInfo</v>
    </a>
    <a count="41">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P/E</v>
      <v t="s">Shares outstanding</v>
      <v t="s">Description</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spbArrays>
  <spbData count="34">
    <spb s="0">
      <v>0</v>
      <v>Name</v>
      <v>LearnMoreOnLink</v>
    </spb>
    <spb s="1">
      <v>0</v>
      <v>0</v>
      <v>0</v>
    </spb>
    <spb s="2">
      <v>1</v>
      <v>1</v>
      <v>1</v>
    </spb>
    <spb s="3">
      <v>1</v>
      <v>2</v>
      <v>1</v>
      <v>3</v>
      <v>1</v>
      <v>1</v>
      <v>1</v>
      <v>4</v>
      <v>5</v>
      <v>6</v>
      <v>1</v>
      <v>1</v>
      <v>5</v>
      <v>1</v>
      <v>4</v>
      <v>7</v>
      <v>8</v>
      <v>1</v>
      <v>1</v>
      <v>5</v>
    </spb>
    <spb s="4">
      <v>at close</v>
      <v>from previous close</v>
      <v>Source: Nasdaq Last Sale</v>
      <v>from previous close</v>
      <v>GMT</v>
      <v>Real-Time Nasdaq Last Sale</v>
      <v>from close</v>
      <v>from close</v>
    </spb>
    <spb s="4">
      <v>at close</v>
      <v>from previous close</v>
      <v>Source: Nasdaq</v>
      <v>from previous close</v>
      <v>GMT</v>
      <v>Delayed 15 minutes</v>
      <v>from close</v>
      <v>from close</v>
    </spb>
    <spb s="5">
      <v>1</v>
      <v>Name</v>
    </spb>
    <spb s="6">
      <v>1</v>
      <v>1</v>
    </spb>
    <spb s="7">
      <v>1</v>
      <v>1</v>
      <v>3</v>
      <v>1</v>
      <v>1</v>
      <v>1</v>
      <v>4</v>
      <v>5</v>
      <v>6</v>
      <v>1</v>
      <v>1</v>
      <v>5</v>
      <v>1</v>
      <v>4</v>
      <v>7</v>
      <v>8</v>
      <v>1</v>
      <v>1</v>
      <v>5</v>
    </spb>
    <spb s="0">
      <v>2</v>
      <v>Name</v>
      <v>LearnMoreOnLink</v>
    </spb>
    <spb s="8">
      <v>1</v>
      <v>1</v>
      <v>3</v>
      <v>1</v>
      <v>1</v>
      <v>1</v>
      <v>5</v>
      <v>1</v>
      <v>1</v>
      <v>1</v>
      <v>8</v>
    </spb>
    <spb s="9">
      <v>from previous close</v>
      <v>from previous close</v>
    </spb>
    <spb s="5">
      <v>3</v>
      <v>Name</v>
    </spb>
    <spb s="10">
      <v>at close</v>
      <v>from previous close</v>
      <v>from previous close</v>
      <v>GMT</v>
      <v>BATS BZX Real-Time Last Price</v>
      <v>from close</v>
      <v>from close</v>
    </spb>
    <spb s="0">
      <v>4</v>
      <v>Name</v>
      <v>LearnMoreOnLink</v>
    </spb>
    <spb s="0">
      <v>5</v>
      <v>Name</v>
      <v>LearnMoreOnLink</v>
    </spb>
    <spb s="11">
      <v>1</v>
      <v>1</v>
      <v>1</v>
      <v>1</v>
    </spb>
    <spb s="12">
      <v>1</v>
      <v>2</v>
      <v>2</v>
      <v>1</v>
      <v>3</v>
      <v>1</v>
      <v>1</v>
      <v>1</v>
      <v>4</v>
      <v>4</v>
      <v>5</v>
      <v>6</v>
      <v>1</v>
      <v>1</v>
      <v>1</v>
      <v>4</v>
      <v>7</v>
      <v>9</v>
      <v>8</v>
      <v>4</v>
      <v>1</v>
      <v>1</v>
      <v>5</v>
    </spb>
    <spb s="13">
      <v>at close</v>
      <v>from previous close</v>
      <v>from previous close</v>
      <v>Source: Nasdaq Last Sale</v>
      <v>GMT</v>
      <v>Real-Time Nasdaq Last Sale</v>
      <v>from close</v>
      <v>from close</v>
    </spb>
    <spb s="0">
      <v>6</v>
      <v>Name</v>
      <v>LearnMoreOnLink</v>
    </spb>
    <spb s="14">
      <v>0</v>
      <v>0</v>
    </spb>
    <spb s="15">
      <v>20</v>
      <v>1</v>
      <v>1</v>
      <v>1</v>
      <v>1</v>
    </spb>
    <spb s="16">
      <v>1</v>
      <v>2</v>
      <v>2</v>
      <v>1</v>
      <v>3</v>
      <v>1</v>
      <v>10</v>
      <v>1</v>
      <v>1</v>
      <v>4</v>
      <v>4</v>
      <v>5</v>
      <v>6</v>
      <v>1</v>
      <v>1</v>
      <v>1</v>
      <v>4</v>
      <v>7</v>
      <v>9</v>
      <v>8</v>
      <v>4</v>
      <v>1</v>
      <v>1</v>
      <v>5</v>
    </spb>
    <spb s="17">
      <v>Powered by Refinitiv</v>
    </spb>
    <spb s="12">
      <v>11</v>
      <v>2</v>
      <v>2</v>
      <v>11</v>
      <v>3</v>
      <v>11</v>
      <v>11</v>
      <v>11</v>
      <v>4</v>
      <v>4</v>
      <v>5</v>
      <v>12</v>
      <v>11</v>
      <v>11</v>
      <v>11</v>
      <v>4</v>
      <v>7</v>
      <v>9</v>
      <v>8</v>
      <v>4</v>
      <v>11</v>
      <v>11</v>
      <v>5</v>
    </spb>
    <spb s="10">
      <v>at close</v>
      <v>from previous close</v>
      <v>from previous close</v>
      <v>GMT</v>
      <v>Delayed 20 minutes</v>
      <v>from close</v>
      <v>from close</v>
    </spb>
    <spb s="0">
      <v>7</v>
      <v>Name</v>
      <v>LearnMoreOnLink</v>
    </spb>
    <spb s="18">
      <v>1</v>
      <v>1</v>
      <v>3</v>
      <v>1</v>
      <v>1</v>
      <v>1</v>
      <v>4</v>
      <v>5</v>
      <v>1</v>
      <v>1</v>
      <v>1</v>
      <v>4</v>
      <v>7</v>
      <v>8</v>
      <v>1</v>
      <v>1</v>
      <v>5</v>
    </spb>
    <spb s="5">
      <v>8</v>
      <v>Name</v>
    </spb>
    <spb s="19">
      <v>1</v>
      <v>1</v>
      <v>1</v>
    </spb>
    <spb s="20">
      <v>1</v>
      <v>2</v>
      <v>1</v>
      <v>3</v>
      <v>1</v>
      <v>1</v>
      <v>1</v>
      <v>4</v>
      <v>5</v>
      <v>1</v>
      <v>1</v>
      <v>1</v>
      <v>4</v>
      <v>7</v>
      <v>9</v>
      <v>8</v>
      <v>4</v>
      <v>1</v>
      <v>1</v>
      <v>5</v>
    </spb>
    <spb s="0">
      <v>9</v>
      <v>Name</v>
      <v>LearnMoreOnLink</v>
    </spb>
    <spb s="21">
      <v>1</v>
      <v>2</v>
      <v>1</v>
      <v>3</v>
      <v>1</v>
      <v>1</v>
      <v>1</v>
      <v>4</v>
      <v>4</v>
      <v>5</v>
      <v>12</v>
      <v>1</v>
      <v>1</v>
      <v>1</v>
      <v>4</v>
      <v>7</v>
      <v>9</v>
      <v>8</v>
      <v>4</v>
      <v>1</v>
      <v>1</v>
      <v>5</v>
    </spb>
    <spb s="13">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22">
  <s>
    <k n="^Order" t="spba"/>
    <k n="TitleProperty" t="s"/>
    <k n="SubTitleProperty" t="s"/>
  </s>
  <s>
    <k n="ShowInCardView" t="b"/>
    <k n="ShowInDotNotation" t="b"/>
    <k n="ShowInAutoComplete" t="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Order" t="spba"/>
    <k n="TitleProperty" t="s"/>
  </s>
  <s>
    <k n="UniqueName" t="spb"/>
    <k n="`%ProviderInfo" t="spb"/>
  </s>
  <s>
    <k n="Low"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Low" t="i"/>
    <k n="High" t="i"/>
    <k n="Name" t="i"/>
    <k n="Open" t="i"/>
    <k n="Price" t="i"/>
    <k n="Change" t="i"/>
    <k n="Change (%)" t="i"/>
    <k n="52 week low" t="i"/>
    <k n="52 week high" t="i"/>
    <k n="Previous close" t="i"/>
    <k n="`%EntityServiceId" t="i"/>
  </s>
  <s>
    <k n="Change" t="s"/>
    <k n="Change (%)" t="s"/>
  </s>
  <s>
    <k n="Price" t="s"/>
    <k n="Change" t="s"/>
    <k n="Change (%)" t="s"/>
    <k n="Last trade time" t="s"/>
    <k n="Price (Extended hours)" t="s"/>
    <k n="Change (Extended hours)" t="s"/>
    <k n="Change % (Extended hours)" t="s"/>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High" t="i"/>
    <k n="Name" t="i"/>
    <k n="Open" t="i"/>
    <k n="Price" t="i"/>
    <k n="Change" t="i"/>
    <k n="Volume" t="i"/>
    <k n="Change (%)" t="i"/>
    <k n="52 week low" t="i"/>
    <k n="52 week high" t="i"/>
    <k n="Previous close" t="i"/>
    <k n="Volume average" t="i"/>
    <k n="Last trade time" t="i"/>
    <k n="`%EntityServiceId" t="i"/>
    <k n="Price (Extended hours)" t="i"/>
    <k n="Change (Extended hours)" t="i"/>
    <k n="Change % (Extended hours)" t="i"/>
  </s>
  <s>
    <k n="ExchangeID" t="spb"/>
    <k n="UniqueName" t="spb"/>
    <k n="`%ProviderInfo" t="spb"/>
  </s>
  <s>
    <k n="Low" t="i"/>
    <k n="P/E" t="i"/>
    <k n="High" t="i"/>
    <k n="Name" t="i"/>
    <k n="Open" t="i"/>
    <k n="Price" t="i"/>
    <k n="Change" t="i"/>
    <k n="Volume" t="i"/>
    <k n="Change (%)" t="i"/>
    <k n="52 week low" t="i"/>
    <k n="52 week high" t="i"/>
    <k n="Previous close" t="i"/>
    <k n="Volume average" t="i"/>
    <k n="Last trade time" t="i"/>
    <k n="Year incorporated" t="i"/>
    <k n="`%EntityServiceId" t="i"/>
    <k n="Shares outstanding" t="i"/>
    <k n="Price (Extended hours)" t="i"/>
    <k n="Change (Extended hours)" t="i"/>
    <k n="Change % (Extended hours)"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yyyy/mm/dd\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0">
      <rpv i="0">0.00</rpv>
    </rSty>
    <rSty dxfid="6">
      <rpv i="0">0</rpv>
    </rSty>
    <rSty>
      <rpv i="2">1</rpv>
    </rSty>
    <rSty dxfid="1">
      <rpv i="0">_-[$$-en-CA]* #,##0.00_-;-[$$-en-CA]* #,##0.00_-;_-[$$-en-CA]* "-"??_-;_-@_-</rpv>
    </rSty>
    <rSty dxfid="1">
      <rpv i="0">_-[$$-en-CA]* #,##0_-;-[$$-en-CA]* #,##0_-;_-[$$-en-CA]*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4F1AA-7094-4475-87D1-34E17EB46089}">
  <dimension ref="A1:D15"/>
  <sheetViews>
    <sheetView workbookViewId="0">
      <selection activeCell="A7" sqref="A7:XFD7"/>
    </sheetView>
  </sheetViews>
  <sheetFormatPr defaultRowHeight="15" x14ac:dyDescent="0.25"/>
  <cols>
    <col min="2" max="2" width="37.5703125" bestFit="1" customWidth="1"/>
  </cols>
  <sheetData>
    <row r="1" spans="1:4" x14ac:dyDescent="0.25">
      <c r="A1" t="s">
        <v>190</v>
      </c>
      <c r="B1" t="s">
        <v>189</v>
      </c>
      <c r="C1" t="s">
        <v>187</v>
      </c>
      <c r="D1" t="s">
        <v>188</v>
      </c>
    </row>
    <row r="2" spans="1:4" x14ac:dyDescent="0.25">
      <c r="A2" t="s">
        <v>5</v>
      </c>
      <c r="B2" t="e" vm="1">
        <v>#VALUE!</v>
      </c>
      <c r="C2" s="1" cm="1">
        <f t="array" aca="1" ref="C2" ca="1">_FV(B2,"Price")</f>
        <v>760.81</v>
      </c>
      <c r="D2" s="2" cm="1">
        <f t="array" aca="1" ref="D2" ca="1">_FV(B2,"Change (%)",TRUE)</f>
        <v>-4.5529999999999998E-3</v>
      </c>
    </row>
    <row r="3" spans="1:4" x14ac:dyDescent="0.25">
      <c r="A3" t="s">
        <v>2</v>
      </c>
      <c r="B3" t="e" vm="2">
        <v>#VALUE!</v>
      </c>
      <c r="C3" s="1" cm="1">
        <f t="array" aca="1" ref="C3" ca="1">_FV(B3,"Price")</f>
        <v>709.18</v>
      </c>
      <c r="D3" s="2" cm="1">
        <f t="array" aca="1" ref="D3" ca="1">_FV(B3,"Change (%)",TRUE)</f>
        <v>-7.9730000000000009E-3</v>
      </c>
    </row>
    <row r="4" spans="1:4" x14ac:dyDescent="0.25">
      <c r="A4" t="s">
        <v>6</v>
      </c>
      <c r="B4" t="e" vm="3">
        <v>#VALUE!</v>
      </c>
      <c r="C4" s="1" cm="1">
        <f t="array" aca="1" ref="C4" ca="1">_FV(B4,"Price")</f>
        <v>524.45000000000005</v>
      </c>
      <c r="D4" s="2" cm="1">
        <f t="array" aca="1" ref="D4" ca="1">_FV(B4,"Change (%)",TRUE)</f>
        <v>-2.5490000000000001E-3</v>
      </c>
    </row>
    <row r="5" spans="1:4" x14ac:dyDescent="0.25">
      <c r="A5" t="s">
        <v>3</v>
      </c>
      <c r="B5" t="e" vm="4">
        <v>#VALUE!</v>
      </c>
      <c r="C5" s="1" cm="1">
        <f t="array" aca="1" ref="C5" ca="1">_FV(B5,"Price")</f>
        <v>287.88</v>
      </c>
      <c r="D5" s="2" cm="1">
        <f t="array" aca="1" ref="D5" ca="1">_FV(B5,"Change (%)",TRUE)</f>
        <v>-3.4960000000000004E-3</v>
      </c>
    </row>
    <row r="6" spans="1:4" x14ac:dyDescent="0.25">
      <c r="A6" t="s">
        <v>99</v>
      </c>
      <c r="B6" t="e" vm="5">
        <v>#VALUE!</v>
      </c>
      <c r="C6" s="1" cm="1">
        <f t="array" aca="1" ref="C6" ca="1">_FV(B6,"Price")</f>
        <v>90.93</v>
      </c>
      <c r="D6" s="2" cm="1">
        <f t="array" aca="1" ref="D6" ca="1">_FV(B6,"Change (%)",TRUE)</f>
        <v>-8.7900000000000001E-4</v>
      </c>
    </row>
    <row r="7" spans="1:4" x14ac:dyDescent="0.25">
      <c r="A7" t="s">
        <v>191</v>
      </c>
      <c r="B7" t="e" vm="6">
        <v>#VALUE!</v>
      </c>
      <c r="C7" s="1" cm="1">
        <f t="array" aca="1" ref="C7" ca="1">_FV(B7,"Price")</f>
        <v>44.74</v>
      </c>
      <c r="D7" s="2" cm="1">
        <f t="array" aca="1" ref="D7" ca="1">_FV(B7,"Change (%)",TRUE)</f>
        <v>2.2161E-2</v>
      </c>
    </row>
    <row r="8" spans="1:4" x14ac:dyDescent="0.25">
      <c r="A8" t="s">
        <v>119</v>
      </c>
      <c r="B8" t="e" vm="7">
        <v>#VALUE!</v>
      </c>
      <c r="C8" s="1" cm="1">
        <f t="array" aca="1" ref="C8" ca="1">_FV(B8,"Price")</f>
        <v>156.63999999999999</v>
      </c>
      <c r="D8" s="2" cm="1">
        <f t="array" aca="1" ref="D8" ca="1">_FV(B8,"Change (%)",TRUE)</f>
        <v>1.1233E-2</v>
      </c>
    </row>
    <row r="9" spans="1:4" x14ac:dyDescent="0.25">
      <c r="A9" t="s">
        <v>193</v>
      </c>
      <c r="B9" t="e" vm="8">
        <v>#VALUE!</v>
      </c>
      <c r="C9" s="1" cm="1">
        <f t="array" aca="1" ref="C9" ca="1">_FV(B9,"Price")</f>
        <v>68.88</v>
      </c>
      <c r="D9" s="2" cm="1">
        <f t="array" aca="1" ref="D9" ca="1">_FV(B9,"Change (%)",TRUE)</f>
        <v>-1.1765000000000001E-2</v>
      </c>
    </row>
    <row r="10" spans="1:4" x14ac:dyDescent="0.25">
      <c r="A10" t="s">
        <v>147</v>
      </c>
      <c r="B10" t="e" vm="9">
        <v>#VALUE!</v>
      </c>
      <c r="C10" s="1" cm="1">
        <f t="array" aca="1" ref="C10" ca="1">_FV(B10,"Price")</f>
        <v>97.58</v>
      </c>
      <c r="D10" s="2" cm="1">
        <f t="array" aca="1" ref="D10" ca="1">_FV(B10,"Change (%)",TRUE)</f>
        <v>-9.9430000000000004E-3</v>
      </c>
    </row>
    <row r="11" spans="1:4" x14ac:dyDescent="0.25">
      <c r="A11" t="s">
        <v>192</v>
      </c>
      <c r="B11" t="e" vm="10">
        <v>#VALUE!</v>
      </c>
      <c r="C11" s="1" cm="1">
        <f t="array" aca="1" ref="C11" ca="1">_FV(B11,"Price")</f>
        <v>42.15</v>
      </c>
      <c r="D11" s="2" cm="1">
        <f t="array" aca="1" ref="D11" ca="1">_FV(B11,"Change (%)",TRUE)</f>
        <v>-3.31E-3</v>
      </c>
    </row>
    <row r="12" spans="1:4" x14ac:dyDescent="0.25">
      <c r="A12" t="s">
        <v>130</v>
      </c>
      <c r="B12" t="e" vm="11">
        <v>#VALUE!</v>
      </c>
      <c r="C12" s="1" cm="1">
        <f t="array" aca="1" ref="C12" ca="1">_FV(B12,"Price")</f>
        <v>34.844999999999999</v>
      </c>
      <c r="D12" s="2" cm="1">
        <f t="array" aca="1" ref="D12" ca="1">_FV(B12,"Change (%)",TRUE)</f>
        <v>1.0293000000000002E-2</v>
      </c>
    </row>
    <row r="13" spans="1:4" x14ac:dyDescent="0.25">
      <c r="A13" t="s">
        <v>148</v>
      </c>
      <c r="B13" t="e" vm="12">
        <v>#VALUE!</v>
      </c>
      <c r="C13" s="1" cm="1">
        <f t="array" aca="1" ref="C13" ca="1">_FV(B13,"Price")</f>
        <v>60.5</v>
      </c>
      <c r="D13" s="2" cm="1">
        <f t="array" aca="1" ref="D13" ca="1">_FV(B13,"Change (%)",TRUE)</f>
        <v>-1.3209999999999999E-3</v>
      </c>
    </row>
    <row r="14" spans="1:4" x14ac:dyDescent="0.25">
      <c r="A14" t="s">
        <v>151</v>
      </c>
      <c r="B14" t="e" vm="13">
        <v>#VALUE!</v>
      </c>
      <c r="C14" s="1" cm="1">
        <f t="array" aca="1" ref="C14" ca="1">_FV(B14,"Price")</f>
        <v>74.819999999999993</v>
      </c>
      <c r="D14" s="2" cm="1">
        <f t="array" aca="1" ref="D14" ca="1">_FV(B14,"Change (%)",TRUE)</f>
        <v>-7.4289999999999998E-3</v>
      </c>
    </row>
    <row r="15" spans="1:4" x14ac:dyDescent="0.25">
      <c r="A15" t="s">
        <v>195</v>
      </c>
      <c r="B15" t="e" vm="14">
        <v>#VALUE!</v>
      </c>
      <c r="C15" s="1" cm="1">
        <f t="array" aca="1" ref="C15" ca="1">_FV(B15,"Price")</f>
        <v>17.100000000000001</v>
      </c>
      <c r="D15" s="2" cm="1">
        <f t="array" aca="1" ref="D15" ca="1">_FV(B15,"Change (%)",TRUE)</f>
        <v>7.9545000000000005E-2</v>
      </c>
    </row>
  </sheetData>
  <conditionalFormatting sqref="D2:D15">
    <cfRule type="cellIs" dxfId="39" priority="1" operator="greaterThan">
      <formula>0</formula>
    </cfRule>
    <cfRule type="cellIs" dxfId="38" priority="2" operator="less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F5984-6964-4C81-B11E-BBA8AEFED76B}">
  <sheetPr>
    <tabColor rgb="FF92D050"/>
  </sheetPr>
  <dimension ref="A1:D8"/>
  <sheetViews>
    <sheetView workbookViewId="0"/>
  </sheetViews>
  <sheetFormatPr defaultRowHeight="15" x14ac:dyDescent="0.25"/>
  <cols>
    <col min="2" max="2" width="37.85546875" bestFit="1" customWidth="1"/>
    <col min="3" max="3" width="11.5703125" bestFit="1" customWidth="1"/>
  </cols>
  <sheetData>
    <row r="1" spans="1:4" x14ac:dyDescent="0.25">
      <c r="A1" t="s">
        <v>0</v>
      </c>
      <c r="B1" t="s">
        <v>189</v>
      </c>
      <c r="C1" t="s">
        <v>187</v>
      </c>
      <c r="D1" t="s">
        <v>188</v>
      </c>
    </row>
    <row r="2" spans="1:4" x14ac:dyDescent="0.25">
      <c r="A2" t="s">
        <v>6</v>
      </c>
      <c r="B2" t="e" vm="3">
        <v>#VALUE!</v>
      </c>
      <c r="C2" s="1" cm="1">
        <f t="array" aca="1" ref="C2" ca="1">_FV(B2,"Price")</f>
        <v>524.45000000000005</v>
      </c>
      <c r="D2" s="2" cm="1">
        <f t="array" aca="1" ref="D2" ca="1">_FV(B2,"Change (%)",TRUE)</f>
        <v>-2.5490000000000001E-3</v>
      </c>
    </row>
    <row r="3" spans="1:4" x14ac:dyDescent="0.25">
      <c r="A3" t="s">
        <v>5</v>
      </c>
      <c r="B3" t="e" vm="1">
        <v>#VALUE!</v>
      </c>
      <c r="C3" s="1" cm="1">
        <f t="array" aca="1" ref="C3" ca="1">_FV(B3,"Price")</f>
        <v>760.81</v>
      </c>
      <c r="D3" s="2" cm="1">
        <f t="array" aca="1" ref="D3" ca="1">_FV(B3,"Change (%)",TRUE)</f>
        <v>-4.5529999999999998E-3</v>
      </c>
    </row>
    <row r="4" spans="1:4" x14ac:dyDescent="0.25">
      <c r="A4" t="s">
        <v>7</v>
      </c>
      <c r="B4" t="e" vm="15">
        <v>#VALUE!</v>
      </c>
      <c r="C4" s="1" cm="1">
        <f t="array" aca="1" ref="C4" ca="1">_FV(B4,"Price")</f>
        <v>672.62</v>
      </c>
      <c r="D4" s="2" cm="1">
        <f t="array" aca="1" ref="D4" ca="1">_FV(B4,"Change (%)",TRUE)</f>
        <v>-8.9289999999999994E-3</v>
      </c>
    </row>
    <row r="5" spans="1:4" x14ac:dyDescent="0.25">
      <c r="A5" t="s">
        <v>2</v>
      </c>
      <c r="B5" t="e" vm="2">
        <v>#VALUE!</v>
      </c>
      <c r="C5" s="1" cm="1">
        <f t="array" aca="1" ref="C5" ca="1">_FV(B5,"Price")</f>
        <v>709.18</v>
      </c>
      <c r="D5" s="2" cm="1">
        <f t="array" aca="1" ref="D5" ca="1">_FV(B5,"Change (%)",TRUE)</f>
        <v>-7.9730000000000009E-3</v>
      </c>
    </row>
    <row r="6" spans="1:4" x14ac:dyDescent="0.25">
      <c r="A6" t="s">
        <v>1</v>
      </c>
      <c r="B6" t="e" vm="16">
        <v>#VALUE!</v>
      </c>
      <c r="C6" s="1" cm="1">
        <f t="array" aca="1" ref="C6" ca="1">_FV(B6,"Price")</f>
        <v>103.28</v>
      </c>
      <c r="D6" s="2" cm="1">
        <f t="array" aca="1" ref="D6" ca="1">_FV(B6,"Change (%)",TRUE)</f>
        <v>-4.8180000000000002E-3</v>
      </c>
    </row>
    <row r="7" spans="1:4" x14ac:dyDescent="0.25">
      <c r="A7" t="s">
        <v>3</v>
      </c>
      <c r="B7" t="e" vm="4">
        <v>#VALUE!</v>
      </c>
      <c r="C7" s="1" cm="1">
        <f t="array" aca="1" ref="C7" ca="1">_FV(B7,"Price")</f>
        <v>287.88</v>
      </c>
      <c r="D7" s="2" cm="1">
        <f t="array" aca="1" ref="D7" ca="1">_FV(B7,"Change (%)",TRUE)</f>
        <v>-3.4960000000000004E-3</v>
      </c>
    </row>
    <row r="8" spans="1:4" x14ac:dyDescent="0.25">
      <c r="A8" t="s">
        <v>4</v>
      </c>
      <c r="B8" t="e" vm="17">
        <v>#VALUE!</v>
      </c>
      <c r="C8" s="1" cm="1">
        <f t="array" aca="1" ref="C8" ca="1">_FV(B8,"Price")</f>
        <v>190.62520000000001</v>
      </c>
      <c r="D8" s="2" cm="1">
        <f t="array" aca="1" ref="D8" ca="1">_FV(B8,"Change (%)",TRUE)</f>
        <v>-1.126E-3</v>
      </c>
    </row>
  </sheetData>
  <autoFilter ref="A1:D1" xr:uid="{D4CF5984-6964-4C81-B11E-BBA8AEFED76B}">
    <sortState xmlns:xlrd2="http://schemas.microsoft.com/office/spreadsheetml/2017/richdata2" ref="A2:D8">
      <sortCondition descending="1" ref="D1"/>
    </sortState>
  </autoFilter>
  <conditionalFormatting sqref="D2:D8">
    <cfRule type="cellIs" dxfId="37" priority="1" operator="greaterThan">
      <formula>0</formula>
    </cfRule>
    <cfRule type="cellIs" dxfId="36" priority="2" operator="less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B5253-6835-43BD-8A90-A41DD21D53D2}">
  <sheetPr>
    <tabColor rgb="FF92D050"/>
  </sheetPr>
  <dimension ref="A1:D12"/>
  <sheetViews>
    <sheetView workbookViewId="0">
      <selection activeCell="A6" sqref="A6:XFD6"/>
    </sheetView>
  </sheetViews>
  <sheetFormatPr defaultRowHeight="15" x14ac:dyDescent="0.25"/>
  <cols>
    <col min="2" max="2" width="37.28515625" bestFit="1" customWidth="1"/>
  </cols>
  <sheetData>
    <row r="1" spans="1:4" x14ac:dyDescent="0.25">
      <c r="A1" t="s">
        <v>0</v>
      </c>
      <c r="B1" t="s">
        <v>189</v>
      </c>
      <c r="C1" t="s">
        <v>187</v>
      </c>
      <c r="D1" t="s">
        <v>188</v>
      </c>
    </row>
    <row r="2" spans="1:4" x14ac:dyDescent="0.25">
      <c r="A2" t="s">
        <v>15</v>
      </c>
      <c r="B2" t="e" vm="18">
        <v>#VALUE!</v>
      </c>
      <c r="C2" s="1" cm="1">
        <f t="array" aca="1" ref="C2" ca="1">_FV(B2,"Price")</f>
        <v>84.42</v>
      </c>
      <c r="D2" s="2" cm="1">
        <f t="array" aca="1" ref="D2" ca="1">_FV(B2,"Change (%)",TRUE)</f>
        <v>1.2473000000000001E-2</v>
      </c>
    </row>
    <row r="3" spans="1:4" x14ac:dyDescent="0.25">
      <c r="A3" t="s">
        <v>11</v>
      </c>
      <c r="B3" t="e" vm="19">
        <v>#VALUE!</v>
      </c>
      <c r="C3" s="1" cm="1">
        <f t="array" aca="1" ref="C3" ca="1">_FV(B3,"Price")</f>
        <v>57.04</v>
      </c>
      <c r="D3" s="2" cm="1">
        <f t="array" aca="1" ref="D3" ca="1">_FV(B3,"Change (%)",TRUE)</f>
        <v>-3.6680000000000003E-3</v>
      </c>
    </row>
    <row r="4" spans="1:4" x14ac:dyDescent="0.25">
      <c r="A4" t="s">
        <v>12</v>
      </c>
      <c r="B4" t="e" vm="20">
        <v>#VALUE!</v>
      </c>
      <c r="C4" s="1" cm="1">
        <f t="array" aca="1" ref="C4" ca="1">_FV(B4,"Price")</f>
        <v>41.81</v>
      </c>
      <c r="D4" s="2" cm="1">
        <f t="array" aca="1" ref="D4" ca="1">_FV(B4,"Change (%)",TRUE)</f>
        <v>-1.3682000000000001E-2</v>
      </c>
    </row>
    <row r="5" spans="1:4" x14ac:dyDescent="0.25">
      <c r="A5" t="s">
        <v>14</v>
      </c>
      <c r="B5" t="e" vm="21">
        <v>#VALUE!</v>
      </c>
      <c r="C5" s="1" cm="1">
        <f t="array" aca="1" ref="C5" ca="1">_FV(B5,"Price")</f>
        <v>115.04</v>
      </c>
      <c r="D5" s="2" cm="1">
        <f t="array" aca="1" ref="D5" ca="1">_FV(B5,"Change (%)",TRUE)</f>
        <v>2.1669999999999998E-2</v>
      </c>
    </row>
    <row r="6" spans="1:4" x14ac:dyDescent="0.25">
      <c r="A6" t="s">
        <v>9</v>
      </c>
      <c r="B6" t="e" vm="22">
        <v>#VALUE!</v>
      </c>
      <c r="C6" s="1" cm="1">
        <f t="array" aca="1" ref="C6" ca="1">_FV(B6,"Price")</f>
        <v>43.12</v>
      </c>
      <c r="D6" s="2" cm="1">
        <f t="array" aca="1" ref="D6" ca="1">_FV(B6,"Change (%)",TRUE)</f>
        <v>-6.9089999999999993E-3</v>
      </c>
    </row>
    <row r="7" spans="1:4" x14ac:dyDescent="0.25">
      <c r="A7" t="s">
        <v>17</v>
      </c>
      <c r="B7" t="e" vm="23">
        <v>#VALUE!</v>
      </c>
      <c r="C7" s="1" cm="1">
        <f t="array" aca="1" ref="C7" ca="1">_FV(B7,"Price")</f>
        <v>112.85</v>
      </c>
      <c r="D7" s="2" cm="1">
        <f t="array" aca="1" ref="D7" ca="1">_FV(B7,"Change (%)",TRUE)</f>
        <v>-9.7379999999999993E-4</v>
      </c>
    </row>
    <row r="8" spans="1:4" x14ac:dyDescent="0.25">
      <c r="A8" t="s">
        <v>16</v>
      </c>
      <c r="B8" t="e" vm="24">
        <v>#VALUE!</v>
      </c>
      <c r="C8" s="1" cm="1">
        <f t="array" aca="1" ref="C8" ca="1">_FV(B8,"Price")</f>
        <v>50.49</v>
      </c>
      <c r="D8" s="2" cm="1">
        <f t="array" aca="1" ref="D8" ca="1">_FV(B8,"Change (%)",TRUE)</f>
        <v>-9.0280000000000013E-3</v>
      </c>
    </row>
    <row r="9" spans="1:4" x14ac:dyDescent="0.25">
      <c r="A9" t="s">
        <v>10</v>
      </c>
      <c r="B9" t="e" vm="25">
        <v>#VALUE!</v>
      </c>
      <c r="C9" s="1" cm="1">
        <f t="array" aca="1" ref="C9" ca="1">_FV(B9,"Price")</f>
        <v>167.73</v>
      </c>
      <c r="D9" s="2" cm="1">
        <f t="array" aca="1" ref="D9" ca="1">_FV(B9,"Change (%)",TRUE)</f>
        <v>1.4332000000000001E-2</v>
      </c>
    </row>
    <row r="10" spans="1:4" x14ac:dyDescent="0.25">
      <c r="A10" t="s">
        <v>18</v>
      </c>
      <c r="B10" t="e" vm="26">
        <v>#VALUE!</v>
      </c>
      <c r="C10" s="1" cm="1">
        <f t="array" aca="1" ref="C10" ca="1">_FV(B10,"Price")</f>
        <v>169.94</v>
      </c>
      <c r="D10" s="2" cm="1">
        <f t="array" aca="1" ref="D10" ca="1">_FV(B10,"Change (%)",TRUE)</f>
        <v>-1.4097999999999999E-2</v>
      </c>
    </row>
    <row r="11" spans="1:4" x14ac:dyDescent="0.25">
      <c r="A11" t="s">
        <v>13</v>
      </c>
      <c r="B11" t="e" vm="27">
        <v>#VALUE!</v>
      </c>
      <c r="C11" s="1" cm="1">
        <f t="array" aca="1" ref="C11" ca="1">_FV(B11,"Price")</f>
        <v>64.540000000000006</v>
      </c>
      <c r="D11" s="2" cm="1">
        <f t="array" aca="1" ref="D11" ca="1">_FV(B11,"Change (%)",TRUE)</f>
        <v>-9.2110000000000004E-3</v>
      </c>
    </row>
    <row r="12" spans="1:4" x14ac:dyDescent="0.25">
      <c r="A12" t="s">
        <v>8</v>
      </c>
      <c r="B12" t="e" vm="28">
        <v>#VALUE!</v>
      </c>
      <c r="C12" s="1" cm="1">
        <f t="array" aca="1" ref="C12" ca="1">_FV(B12,"Price")</f>
        <v>184.25</v>
      </c>
      <c r="D12" s="2" cm="1">
        <f t="array" aca="1" ref="D12" ca="1">_FV(B12,"Change (%)",TRUE)</f>
        <v>-1.8223E-2</v>
      </c>
    </row>
  </sheetData>
  <autoFilter ref="A1:D1" xr:uid="{4ECB5253-6835-43BD-8A90-A41DD21D53D2}">
    <sortState xmlns:xlrd2="http://schemas.microsoft.com/office/spreadsheetml/2017/richdata2" ref="A2:D12">
      <sortCondition descending="1" ref="D1"/>
    </sortState>
  </autoFilter>
  <conditionalFormatting sqref="D2:D12">
    <cfRule type="cellIs" dxfId="35" priority="1" operator="greaterThan">
      <formula>0</formula>
    </cfRule>
    <cfRule type="cellIs" dxfId="34" priority="2" operator="lessThan">
      <formula>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37E43-D336-4FB6-8CB9-F7B234E12FE1}">
  <dimension ref="A1:D8"/>
  <sheetViews>
    <sheetView workbookViewId="0">
      <selection activeCell="D8" sqref="D8"/>
    </sheetView>
  </sheetViews>
  <sheetFormatPr defaultRowHeight="15" x14ac:dyDescent="0.25"/>
  <cols>
    <col min="1" max="1" width="5.42578125" bestFit="1" customWidth="1"/>
    <col min="2" max="2" width="35.28515625" bestFit="1" customWidth="1"/>
    <col min="3" max="3" width="9" bestFit="1" customWidth="1"/>
    <col min="4" max="4" width="7.5703125" bestFit="1" customWidth="1"/>
  </cols>
  <sheetData>
    <row r="1" spans="1:4" x14ac:dyDescent="0.25">
      <c r="A1" t="s">
        <v>0</v>
      </c>
      <c r="B1" t="s">
        <v>189</v>
      </c>
      <c r="C1" t="s">
        <v>187</v>
      </c>
      <c r="D1" t="s">
        <v>188</v>
      </c>
    </row>
    <row r="2" spans="1:4" x14ac:dyDescent="0.25">
      <c r="A2" t="s">
        <v>202</v>
      </c>
      <c r="B2" t="e" vm="29">
        <v>#VALUE!</v>
      </c>
      <c r="C2" s="1" cm="1">
        <f t="array" aca="1" ref="C2" ca="1">_FV(B2,"Price")</f>
        <v>54.85</v>
      </c>
      <c r="D2" s="2" cm="1">
        <f t="array" aca="1" ref="D2" ca="1">_FV(B2,"Change (%)",TRUE)</f>
        <v>-7.1912000000000004E-2</v>
      </c>
    </row>
    <row r="3" spans="1:4" x14ac:dyDescent="0.25">
      <c r="A3" t="s">
        <v>203</v>
      </c>
      <c r="B3" t="e" vm="30">
        <v>#VALUE!</v>
      </c>
      <c r="C3" s="1" cm="1">
        <f t="array" aca="1" ref="C3" ca="1">_FV(B3,"Price")</f>
        <v>85.14</v>
      </c>
      <c r="D3" s="2" cm="1">
        <f t="array" aca="1" ref="D3" ca="1">_FV(B3,"Change (%)",TRUE)</f>
        <v>-4.4766E-2</v>
      </c>
    </row>
    <row r="4" spans="1:4" x14ac:dyDescent="0.25">
      <c r="A4" t="s">
        <v>204</v>
      </c>
      <c r="B4" t="e" vm="31">
        <v>#VALUE!</v>
      </c>
      <c r="C4" s="1" cm="1">
        <f t="array" aca="1" ref="C4" ca="1">_FV(B4,"Price")</f>
        <v>497.4</v>
      </c>
      <c r="D4" s="2" cm="1">
        <f t="array" aca="1" ref="D4" ca="1">_FV(B4,"Change (%)",TRUE)</f>
        <v>-5.6292000000000002E-2</v>
      </c>
    </row>
    <row r="5" spans="1:4" x14ac:dyDescent="0.25">
      <c r="A5" t="s">
        <v>206</v>
      </c>
      <c r="B5" t="e" vm="32">
        <v>#VALUE!</v>
      </c>
      <c r="C5" s="1" cm="1">
        <f t="array" aca="1" ref="C5" ca="1">_FV(B5,"Price")</f>
        <v>27.22</v>
      </c>
      <c r="D5" s="2" cm="1">
        <f t="array" aca="1" ref="D5" ca="1">_FV(B5,"Change (%)",TRUE)</f>
        <v>-3.6801E-2</v>
      </c>
    </row>
    <row r="6" spans="1:4" x14ac:dyDescent="0.25">
      <c r="A6" t="s">
        <v>207</v>
      </c>
      <c r="B6" t="e" vm="33">
        <v>#VALUE!</v>
      </c>
      <c r="C6" s="1" cm="1">
        <f t="array" aca="1" ref="C6" ca="1">_FV(B6,"Price")</f>
        <v>68.91</v>
      </c>
      <c r="D6" s="2" cm="1">
        <f t="array" aca="1" ref="D6" ca="1">_FV(B6,"Change (%)",TRUE)</f>
        <v>-2.3384000000000002E-2</v>
      </c>
    </row>
    <row r="7" spans="1:4" x14ac:dyDescent="0.25">
      <c r="A7" t="s">
        <v>208</v>
      </c>
      <c r="B7" t="e" vm="34">
        <v>#VALUE!</v>
      </c>
      <c r="C7" s="1" cm="1">
        <f t="array" aca="1" ref="C7" ca="1">_FV(B7,"Price")</f>
        <v>40.630000000000003</v>
      </c>
      <c r="D7" s="2" cm="1">
        <f t="array" aca="1" ref="D7" ca="1">_FV(B7,"Change (%)",TRUE)</f>
        <v>-7.3220999999999994E-2</v>
      </c>
    </row>
    <row r="8" spans="1:4" x14ac:dyDescent="0.25">
      <c r="A8" t="s">
        <v>209</v>
      </c>
      <c r="B8" t="e" vm="35">
        <v>#VALUE!</v>
      </c>
      <c r="C8" s="1" cm="1">
        <f t="array" aca="1" ref="C8" ca="1">_FV(B8,"Price")</f>
        <v>35.6</v>
      </c>
      <c r="D8" s="2" cm="1">
        <f t="array" aca="1" ref="D8" ca="1">_FV(B8,"Change (%)",TRUE)</f>
        <v>-7.7959000000000001E-2</v>
      </c>
    </row>
  </sheetData>
  <conditionalFormatting sqref="D2:D8">
    <cfRule type="cellIs" dxfId="33" priority="1" operator="greaterThan">
      <formula>0</formula>
    </cfRule>
    <cfRule type="cellIs" dxfId="32" priority="2" operator="lessThan">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87D3D-2ED3-4447-8941-183FC53E84C1}">
  <dimension ref="A1:D36"/>
  <sheetViews>
    <sheetView tabSelected="1" topLeftCell="A19" workbookViewId="0">
      <selection activeCell="G34" sqref="G34"/>
    </sheetView>
  </sheetViews>
  <sheetFormatPr defaultRowHeight="15" x14ac:dyDescent="0.25"/>
  <cols>
    <col min="2" max="2" width="40.28515625" bestFit="1" customWidth="1"/>
  </cols>
  <sheetData>
    <row r="1" spans="1:4" x14ac:dyDescent="0.25">
      <c r="A1" t="s">
        <v>0</v>
      </c>
      <c r="B1" t="s">
        <v>189</v>
      </c>
      <c r="C1" t="s">
        <v>187</v>
      </c>
      <c r="D1" t="s">
        <v>188</v>
      </c>
    </row>
    <row r="2" spans="1:4" x14ac:dyDescent="0.25">
      <c r="A2" t="s">
        <v>41</v>
      </c>
      <c r="B2" t="e" vm="36">
        <v>#VALUE!</v>
      </c>
      <c r="C2" s="1" cm="1">
        <f t="array" aca="1" ref="C2" ca="1">_FV(B2,"Price")</f>
        <v>63.41</v>
      </c>
      <c r="D2" s="2" cm="1">
        <f t="array" aca="1" ref="D2" ca="1">_FV(B2,"Change (%)",TRUE)</f>
        <v>1.7000999999999999E-2</v>
      </c>
    </row>
    <row r="3" spans="1:4" x14ac:dyDescent="0.25">
      <c r="A3" t="s">
        <v>31</v>
      </c>
      <c r="B3" t="e" vm="37">
        <v>#VALUE!</v>
      </c>
      <c r="C3" s="1" cm="1">
        <f t="array" aca="1" ref="C3" ca="1">_FV(B3,"Price")</f>
        <v>85.52</v>
      </c>
      <c r="D3" s="2" cm="1">
        <f t="array" aca="1" ref="D3" ca="1">_FV(B3,"Change (%)",TRUE)</f>
        <v>8.6099999999999996E-3</v>
      </c>
    </row>
    <row r="4" spans="1:4" x14ac:dyDescent="0.25">
      <c r="A4" t="s">
        <v>47</v>
      </c>
      <c r="B4" t="e" vm="38">
        <v>#VALUE!</v>
      </c>
      <c r="C4" s="1" cm="1">
        <f t="array" aca="1" ref="C4" ca="1">_FV(B4,"Price")</f>
        <v>63.66</v>
      </c>
      <c r="D4" s="2" cm="1">
        <f t="array" aca="1" ref="D4" ca="1">_FV(B4,"Change (%)",TRUE)</f>
        <v>9.0349999999999996E-3</v>
      </c>
    </row>
    <row r="5" spans="1:4" x14ac:dyDescent="0.25">
      <c r="A5" t="s">
        <v>45</v>
      </c>
      <c r="B5" t="e" vm="39">
        <v>#VALUE!</v>
      </c>
      <c r="C5" s="1" cm="1">
        <f t="array" aca="1" ref="C5" ca="1">_FV(B5,"Price")</f>
        <v>19.3612</v>
      </c>
      <c r="D5" s="2" cm="1">
        <f t="array" aca="1" ref="D5" ca="1">_FV(B5,"Change (%)",TRUE)</f>
        <v>1.136E-4</v>
      </c>
    </row>
    <row r="6" spans="1:4" x14ac:dyDescent="0.25">
      <c r="A6" t="s">
        <v>50</v>
      </c>
      <c r="B6" t="e" vm="40">
        <v>#VALUE!</v>
      </c>
      <c r="C6" s="1" cm="1">
        <f t="array" aca="1" ref="C6" ca="1">_FV(B6,"Price")</f>
        <v>47.36</v>
      </c>
      <c r="D6" s="2" cm="1">
        <f t="array" aca="1" ref="D6" ca="1">_FV(B6,"Change (%)",TRUE)</f>
        <v>7.0169999999999998E-3</v>
      </c>
    </row>
    <row r="7" spans="1:4" x14ac:dyDescent="0.25">
      <c r="A7" t="s">
        <v>20</v>
      </c>
      <c r="B7" t="e" vm="41">
        <v>#VALUE!</v>
      </c>
      <c r="C7" s="1" cm="1">
        <f t="array" aca="1" ref="C7" ca="1">_FV(B7,"Price")</f>
        <v>94.15</v>
      </c>
      <c r="D7" s="2" cm="1">
        <f t="array" aca="1" ref="D7" ca="1">_FV(B7,"Change (%)",TRUE)</f>
        <v>-3.0381000000000002E-2</v>
      </c>
    </row>
    <row r="8" spans="1:4" x14ac:dyDescent="0.25">
      <c r="A8" t="s">
        <v>36</v>
      </c>
      <c r="B8" t="e" vm="42">
        <v>#VALUE!</v>
      </c>
      <c r="C8" s="1" cm="1">
        <f t="array" aca="1" ref="C8" ca="1">_FV(B8,"Price")</f>
        <v>57.62</v>
      </c>
      <c r="D8" s="2" cm="1">
        <f t="array" aca="1" ref="D8" ca="1">_FV(B8,"Change (%)",TRUE)</f>
        <v>1.7482000000000001E-2</v>
      </c>
    </row>
    <row r="9" spans="1:4" x14ac:dyDescent="0.25">
      <c r="A9" t="s">
        <v>33</v>
      </c>
      <c r="B9" t="e" vm="43">
        <v>#VALUE!</v>
      </c>
      <c r="C9" s="1" cm="1">
        <f t="array" aca="1" ref="C9" ca="1">_FV(B9,"Price")</f>
        <v>28.18</v>
      </c>
      <c r="D9" s="2" cm="1">
        <f t="array" aca="1" ref="D9" ca="1">_FV(B9,"Change (%)",TRUE)</f>
        <v>3.5499999999999996E-4</v>
      </c>
    </row>
    <row r="10" spans="1:4" x14ac:dyDescent="0.25">
      <c r="A10" t="s">
        <v>28</v>
      </c>
      <c r="B10" t="e" vm="44">
        <v>#VALUE!</v>
      </c>
      <c r="C10" s="1" cm="1">
        <f t="array" aca="1" ref="C10" ca="1">_FV(B10,"Price")</f>
        <v>188.87</v>
      </c>
      <c r="D10" s="2" cm="1">
        <f t="array" aca="1" ref="D10" ca="1">_FV(B10,"Change (%)",TRUE)</f>
        <v>-8.6079999999999993E-3</v>
      </c>
    </row>
    <row r="11" spans="1:4" x14ac:dyDescent="0.25">
      <c r="A11" t="s">
        <v>38</v>
      </c>
      <c r="B11" t="e" vm="45">
        <v>#VALUE!</v>
      </c>
      <c r="C11" s="1" cm="1">
        <f t="array" aca="1" ref="C11" ca="1">_FV(B11,"Price")</f>
        <v>68.14</v>
      </c>
      <c r="D11" s="2" cm="1">
        <f t="array" aca="1" ref="D11" ca="1">_FV(B11,"Change (%)",TRUE)</f>
        <v>1.47E-3</v>
      </c>
    </row>
    <row r="12" spans="1:4" x14ac:dyDescent="0.25">
      <c r="A12" t="s">
        <v>43</v>
      </c>
      <c r="B12" t="e" vm="46">
        <v>#VALUE!</v>
      </c>
      <c r="C12" s="1" cm="1">
        <f t="array" aca="1" ref="C12" ca="1">_FV(B12,"Price")</f>
        <v>124.96040000000001</v>
      </c>
      <c r="D12" s="2" cm="1">
        <f t="array" aca="1" ref="D12" ca="1">_FV(B12,"Change (%)",TRUE)</f>
        <v>7.0140000000000003E-3</v>
      </c>
    </row>
    <row r="13" spans="1:4" x14ac:dyDescent="0.25">
      <c r="A13" t="s">
        <v>39</v>
      </c>
      <c r="B13" t="e" vm="47">
        <v>#VALUE!</v>
      </c>
      <c r="C13" s="1" cm="1">
        <f t="array" aca="1" ref="C13" ca="1">_FV(B13,"Price")</f>
        <v>183.24</v>
      </c>
      <c r="D13" s="2" cm="1">
        <f t="array" aca="1" ref="D13" ca="1">_FV(B13,"Change (%)",TRUE)</f>
        <v>-1.7795999999999999E-2</v>
      </c>
    </row>
    <row r="14" spans="1:4" x14ac:dyDescent="0.25">
      <c r="A14" t="s">
        <v>44</v>
      </c>
      <c r="B14" t="e" vm="48">
        <v>#VALUE!</v>
      </c>
      <c r="C14" s="1" cm="1">
        <f t="array" aca="1" ref="C14" ca="1">_FV(B14,"Price")</f>
        <v>57.41</v>
      </c>
      <c r="D14" s="2" cm="1">
        <f t="array" aca="1" ref="D14" ca="1">_FV(B14,"Change (%)",TRUE)</f>
        <v>-1.6615000000000001E-2</v>
      </c>
    </row>
    <row r="15" spans="1:4" x14ac:dyDescent="0.25">
      <c r="A15" t="s">
        <v>32</v>
      </c>
      <c r="B15" t="e" vm="49">
        <v>#VALUE!</v>
      </c>
      <c r="C15" s="1" cm="1">
        <f t="array" aca="1" ref="C15" ca="1">_FV(B15,"Price")</f>
        <v>292.70999999999998</v>
      </c>
      <c r="D15" s="2" cm="1">
        <f t="array" aca="1" ref="D15" ca="1">_FV(B15,"Change (%)",TRUE)</f>
        <v>1.3118000000000001E-2</v>
      </c>
    </row>
    <row r="16" spans="1:4" x14ac:dyDescent="0.25">
      <c r="A16" t="s">
        <v>34</v>
      </c>
      <c r="B16" t="e" vm="50">
        <v>#VALUE!</v>
      </c>
      <c r="C16" s="1" cm="1">
        <f t="array" aca="1" ref="C16" ca="1">_FV(B16,"Price")</f>
        <v>74.11</v>
      </c>
      <c r="D16" s="2" cm="1">
        <f t="array" aca="1" ref="D16" ca="1">_FV(B16,"Change (%)",TRUE)</f>
        <v>2.8419999999999999E-3</v>
      </c>
    </row>
    <row r="17" spans="1:4" x14ac:dyDescent="0.25">
      <c r="A17" t="s">
        <v>48</v>
      </c>
      <c r="B17" t="e" vm="51">
        <v>#VALUE!</v>
      </c>
      <c r="C17" s="1" cm="1">
        <f t="array" aca="1" ref="C17" ca="1">_FV(B17,"Price")</f>
        <v>98.27</v>
      </c>
      <c r="D17" s="2" cm="1">
        <f t="array" aca="1" ref="D17" ca="1">_FV(B17,"Change (%)",TRUE)</f>
        <v>-1.9300000000000001E-3</v>
      </c>
    </row>
    <row r="18" spans="1:4" x14ac:dyDescent="0.25">
      <c r="A18" t="s">
        <v>49</v>
      </c>
      <c r="B18" t="e" vm="52">
        <v>#VALUE!</v>
      </c>
      <c r="C18" s="1" cm="1">
        <f t="array" aca="1" ref="C18" ca="1">_FV(B18,"Price")</f>
        <v>82.64</v>
      </c>
      <c r="D18" s="2" cm="1">
        <f t="array" aca="1" ref="D18" ca="1">_FV(B18,"Change (%)",TRUE)</f>
        <v>6.0870000000000004E-3</v>
      </c>
    </row>
    <row r="19" spans="1:4" x14ac:dyDescent="0.25">
      <c r="A19" t="s">
        <v>27</v>
      </c>
      <c r="B19" t="e" vm="53">
        <v>#VALUE!</v>
      </c>
      <c r="C19" s="1" cm="1">
        <f t="array" aca="1" ref="C19" ca="1">_FV(B19,"Price")</f>
        <v>204.08</v>
      </c>
      <c r="D19" s="2" cm="1">
        <f t="array" aca="1" ref="D19" ca="1">_FV(B19,"Change (%)",TRUE)</f>
        <v>4.4743000000000005E-2</v>
      </c>
    </row>
    <row r="20" spans="1:4" x14ac:dyDescent="0.25">
      <c r="A20" t="s">
        <v>19</v>
      </c>
      <c r="B20" t="e" vm="54">
        <v>#VALUE!</v>
      </c>
      <c r="C20" s="1" cm="1">
        <f t="array" aca="1" ref="C20" ca="1">_FV(B20,"Price")</f>
        <v>99.26</v>
      </c>
      <c r="D20" s="2" cm="1">
        <f t="array" aca="1" ref="D20" ca="1">_FV(B20,"Change (%)",TRUE)</f>
        <v>2.0983000000000002E-2</v>
      </c>
    </row>
    <row r="21" spans="1:4" x14ac:dyDescent="0.25">
      <c r="A21" t="s">
        <v>22</v>
      </c>
      <c r="B21" t="e" vm="55">
        <v>#VALUE!</v>
      </c>
      <c r="C21" s="1" cm="1">
        <f t="array" aca="1" ref="C21" ca="1">_FV(B21,"Price")</f>
        <v>44.902700000000003</v>
      </c>
      <c r="D21" s="2" cm="1">
        <f t="array" aca="1" ref="D21" ca="1">_FV(B21,"Change (%)",TRUE)</f>
        <v>1.6832E-2</v>
      </c>
    </row>
    <row r="22" spans="1:4" x14ac:dyDescent="0.25">
      <c r="A22" t="s">
        <v>29</v>
      </c>
      <c r="B22" t="e" vm="56">
        <v>#VALUE!</v>
      </c>
      <c r="C22" s="1" cm="1">
        <f t="array" aca="1" ref="C22" ca="1">_FV(B22,"Price")</f>
        <v>204.6</v>
      </c>
      <c r="D22" s="2" cm="1">
        <f t="array" aca="1" ref="D22" ca="1">_FV(B22,"Change (%)",TRUE)</f>
        <v>8.2290000000000002E-3</v>
      </c>
    </row>
    <row r="23" spans="1:4" x14ac:dyDescent="0.25">
      <c r="A23" t="s">
        <v>35</v>
      </c>
      <c r="B23" t="e" vm="57">
        <v>#VALUE!</v>
      </c>
      <c r="C23" s="1" cm="1">
        <f t="array" aca="1" ref="C23" ca="1">_FV(B23,"Price")</f>
        <v>51.88</v>
      </c>
      <c r="D23" s="2" cm="1">
        <f t="array" aca="1" ref="D23" ca="1">_FV(B23,"Change (%)",TRUE)</f>
        <v>1.9654000000000001E-2</v>
      </c>
    </row>
    <row r="24" spans="1:4" x14ac:dyDescent="0.25">
      <c r="A24" t="s">
        <v>24</v>
      </c>
      <c r="B24" t="e" vm="58">
        <v>#VALUE!</v>
      </c>
      <c r="C24" s="1" cm="1">
        <f t="array" aca="1" ref="C24" ca="1">_FV(B24,"Price")</f>
        <v>65.588999999999999</v>
      </c>
      <c r="D24" s="2" cm="1">
        <f t="array" aca="1" ref="D24" ca="1">_FV(B24,"Change (%)",TRUE)</f>
        <v>1.5061E-2</v>
      </c>
    </row>
    <row r="25" spans="1:4" x14ac:dyDescent="0.25">
      <c r="A25" t="s">
        <v>201</v>
      </c>
      <c r="B25" t="e" vm="59">
        <v>#VALUE!</v>
      </c>
      <c r="C25" s="1" cm="1">
        <f t="array" aca="1" ref="C25" ca="1">_FV(B25,"Price")</f>
        <v>62.31</v>
      </c>
      <c r="D25" s="2" cm="1">
        <f t="array" aca="1" ref="D25" ca="1">_FV(B25,"Change (%)",TRUE)</f>
        <v>-3.3369000000000003E-2</v>
      </c>
    </row>
    <row r="26" spans="1:4" x14ac:dyDescent="0.25">
      <c r="A26" t="s">
        <v>23</v>
      </c>
      <c r="B26" t="e" vm="60">
        <v>#VALUE!</v>
      </c>
      <c r="C26" s="1" cm="1">
        <f t="array" aca="1" ref="C26" ca="1">_FV(B26,"Price")</f>
        <v>162.77000000000001</v>
      </c>
      <c r="D26" s="2" cm="1">
        <f t="array" aca="1" ref="D26" ca="1">_FV(B26,"Change (%)",TRUE)</f>
        <v>2.7134000000000002E-2</v>
      </c>
    </row>
    <row r="27" spans="1:4" x14ac:dyDescent="0.25">
      <c r="A27" t="s">
        <v>26</v>
      </c>
      <c r="B27" t="e" vm="61">
        <v>#VALUE!</v>
      </c>
      <c r="C27" s="1" cm="1">
        <f t="array" aca="1" ref="C27" ca="1">_FV(B27,"Price")</f>
        <v>4.93</v>
      </c>
      <c r="D27" s="2" cm="1">
        <f t="array" aca="1" ref="D27" ca="1">_FV(B27,"Change (%)",TRUE)</f>
        <v>3.7894999999999998E-2</v>
      </c>
    </row>
    <row r="28" spans="1:4" x14ac:dyDescent="0.25">
      <c r="A28" t="s">
        <v>30</v>
      </c>
      <c r="B28" t="e" vm="62">
        <v>#VALUE!</v>
      </c>
      <c r="C28" s="1" cm="1">
        <f t="array" aca="1" ref="C28" ca="1">_FV(B28,"Price")</f>
        <v>402.06</v>
      </c>
      <c r="D28" s="2" cm="1">
        <f t="array" aca="1" ref="D28" ca="1">_FV(B28,"Change (%)",TRUE)</f>
        <v>-4.4239000000000001E-2</v>
      </c>
    </row>
    <row r="29" spans="1:4" x14ac:dyDescent="0.25">
      <c r="A29" t="s">
        <v>46</v>
      </c>
      <c r="B29" t="e" vm="63">
        <v>#VALUE!</v>
      </c>
      <c r="C29" s="1" cm="1">
        <f t="array" aca="1" ref="C29" ca="1">_FV(B29,"Price")</f>
        <v>216.77</v>
      </c>
      <c r="D29" s="2" cm="1">
        <f t="array" aca="1" ref="D29" ca="1">_FV(B29,"Change (%)",TRUE)</f>
        <v>-1.0227999999999999E-2</v>
      </c>
    </row>
    <row r="30" spans="1:4" x14ac:dyDescent="0.25">
      <c r="A30" t="s">
        <v>40</v>
      </c>
      <c r="B30" t="e" vm="64">
        <v>#VALUE!</v>
      </c>
      <c r="C30" s="1" cm="1">
        <f t="array" aca="1" ref="C30" ca="1">_FV(B30,"Price")</f>
        <v>193.49</v>
      </c>
      <c r="D30" s="2" cm="1">
        <f t="array" aca="1" ref="D30" ca="1">_FV(B30,"Change (%)",TRUE)</f>
        <v>-1.1394E-2</v>
      </c>
    </row>
    <row r="31" spans="1:4" x14ac:dyDescent="0.25">
      <c r="A31" t="s">
        <v>37</v>
      </c>
      <c r="B31" t="e" vm="65">
        <v>#VALUE!</v>
      </c>
      <c r="C31" s="1" cm="1">
        <f t="array" aca="1" ref="C31" ca="1">_FV(B31,"Price")</f>
        <v>46.22</v>
      </c>
      <c r="D31" s="2" cm="1">
        <f t="array" aca="1" ref="D31" ca="1">_FV(B31,"Change (%)",TRUE)</f>
        <v>-1.9723999999999998E-2</v>
      </c>
    </row>
    <row r="32" spans="1:4" x14ac:dyDescent="0.25">
      <c r="A32" t="s">
        <v>42</v>
      </c>
      <c r="B32" t="e" vm="66">
        <v>#VALUE!</v>
      </c>
      <c r="C32" s="1" cm="1">
        <f t="array" aca="1" ref="C32" ca="1">_FV(B32,"Price")</f>
        <v>34.76</v>
      </c>
      <c r="D32" s="2" cm="1">
        <f t="array" aca="1" ref="D32" ca="1">_FV(B32,"Change (%)",TRUE)</f>
        <v>-1.4739E-2</v>
      </c>
    </row>
    <row r="33" spans="1:4" x14ac:dyDescent="0.25">
      <c r="A33" t="s">
        <v>200</v>
      </c>
      <c r="B33" t="e" vm="67">
        <v>#VALUE!</v>
      </c>
      <c r="C33" s="1" cm="1">
        <f t="array" aca="1" ref="C33" ca="1">_FV(B33,"Price")</f>
        <v>142.80000000000001</v>
      </c>
      <c r="D33" s="2" cm="1">
        <f t="array" aca="1" ref="D33" ca="1">_FV(B33,"Change (%)",TRUE)</f>
        <v>-3.1273000000000002E-2</v>
      </c>
    </row>
    <row r="34" spans="1:4" x14ac:dyDescent="0.25">
      <c r="A34" t="s">
        <v>25</v>
      </c>
      <c r="B34" t="e" vm="68">
        <v>#VALUE!</v>
      </c>
      <c r="C34" s="1" cm="1">
        <f t="array" aca="1" ref="C34" ca="1">_FV(B34,"Price")</f>
        <v>541.5</v>
      </c>
      <c r="D34" s="2" cm="1">
        <f t="array" aca="1" ref="D34" ca="1">_FV(B34,"Change (%)",TRUE)</f>
        <v>-4.7544000000000003E-2</v>
      </c>
    </row>
    <row r="35" spans="1:4" x14ac:dyDescent="0.25">
      <c r="A35" t="s">
        <v>21</v>
      </c>
      <c r="B35" t="e" vm="69">
        <v>#VALUE!</v>
      </c>
      <c r="C35" s="1" cm="1">
        <f t="array" aca="1" ref="C35" ca="1">_FV(B35,"Price")</f>
        <v>30.4</v>
      </c>
      <c r="D35" s="2" cm="1">
        <f t="array" aca="1" ref="D35" ca="1">_FV(B35,"Change (%)",TRUE)</f>
        <v>-2.2508E-2</v>
      </c>
    </row>
    <row r="36" spans="1:4" x14ac:dyDescent="0.25">
      <c r="A36" t="s">
        <v>210</v>
      </c>
      <c r="B36" t="e" vm="70">
        <v>#VALUE!</v>
      </c>
      <c r="C36" s="1" cm="1">
        <f t="array" aca="1" ref="C36" ca="1">_FV(B36,"Price")</f>
        <v>66.17</v>
      </c>
      <c r="D36" s="2" cm="1">
        <f t="array" aca="1" ref="D36" ca="1">_FV(B36,"Change (%)",TRUE)</f>
        <v>7.7336000000000002E-2</v>
      </c>
    </row>
  </sheetData>
  <autoFilter ref="A1:D1" xr:uid="{14A87D3D-2ED3-4447-8941-183FC53E84C1}">
    <sortState xmlns:xlrd2="http://schemas.microsoft.com/office/spreadsheetml/2017/richdata2" ref="A2:D35">
      <sortCondition descending="1" ref="D1"/>
    </sortState>
  </autoFilter>
  <conditionalFormatting sqref="D2:D36">
    <cfRule type="cellIs" dxfId="31" priority="1" operator="greaterThan">
      <formula>0</formula>
    </cfRule>
    <cfRule type="cellIs" dxfId="30" priority="2" operator="lessThan">
      <formula>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AA96A-81D6-4BE2-9770-0BD4A66A1284}">
  <dimension ref="A1:D20"/>
  <sheetViews>
    <sheetView workbookViewId="0">
      <selection sqref="A1:XFD1"/>
    </sheetView>
  </sheetViews>
  <sheetFormatPr defaultRowHeight="15" x14ac:dyDescent="0.25"/>
  <cols>
    <col min="2" max="2" width="37.5703125" bestFit="1" customWidth="1"/>
  </cols>
  <sheetData>
    <row r="1" spans="1:4" x14ac:dyDescent="0.25">
      <c r="A1" t="s">
        <v>0</v>
      </c>
      <c r="B1" t="s">
        <v>189</v>
      </c>
      <c r="C1" t="s">
        <v>187</v>
      </c>
      <c r="D1" t="s">
        <v>188</v>
      </c>
    </row>
    <row r="2" spans="1:4" x14ac:dyDescent="0.25">
      <c r="A2" t="s">
        <v>63</v>
      </c>
      <c r="B2" t="e" vm="71">
        <v>#VALUE!</v>
      </c>
      <c r="C2" s="1" cm="1">
        <f t="array" aca="1" ref="C2" ca="1">_FV(B2,"Price")</f>
        <v>73.819999999999993</v>
      </c>
      <c r="D2" s="2" cm="1">
        <f t="array" aca="1" ref="D2" ca="1">_FV(B2,"Change (%)",TRUE)</f>
        <v>4.0660000000000002E-4</v>
      </c>
    </row>
    <row r="3" spans="1:4" x14ac:dyDescent="0.25">
      <c r="A3" t="s">
        <v>67</v>
      </c>
      <c r="B3" t="e" vm="72">
        <v>#VALUE!</v>
      </c>
      <c r="C3" s="1" cm="1">
        <f t="array" aca="1" ref="C3" ca="1">_FV(B3,"Price")</f>
        <v>56.56</v>
      </c>
      <c r="D3" s="2" cm="1">
        <f t="array" aca="1" ref="D3" ca="1">_FV(B3,"Change (%)",TRUE)</f>
        <v>5.8690000000000001E-3</v>
      </c>
    </row>
    <row r="4" spans="1:4" x14ac:dyDescent="0.25">
      <c r="A4" t="s">
        <v>55</v>
      </c>
      <c r="B4" t="e" vm="73">
        <v>#VALUE!</v>
      </c>
      <c r="C4" s="1" cm="1">
        <f t="array" aca="1" ref="C4" ca="1">_FV(B4,"Price")</f>
        <v>123.39</v>
      </c>
      <c r="D4" s="2" cm="1">
        <f t="array" aca="1" ref="D4" ca="1">_FV(B4,"Change (%)",TRUE)</f>
        <v>6.3619999999999996E-3</v>
      </c>
    </row>
    <row r="5" spans="1:4" x14ac:dyDescent="0.25">
      <c r="A5" t="s">
        <v>66</v>
      </c>
      <c r="B5" t="e" vm="74">
        <v>#VALUE!</v>
      </c>
      <c r="C5" s="1" cm="1">
        <f t="array" aca="1" ref="C5" ca="1">_FV(B5,"Price")</f>
        <v>76.98</v>
      </c>
      <c r="D5" s="2" cm="1">
        <f t="array" aca="1" ref="D5" ca="1">_FV(B5,"Change (%)",TRUE)</f>
        <v>-1.5559999999999999E-3</v>
      </c>
    </row>
    <row r="6" spans="1:4" x14ac:dyDescent="0.25">
      <c r="A6" t="s">
        <v>68</v>
      </c>
      <c r="B6" t="e" vm="75">
        <v>#VALUE!</v>
      </c>
      <c r="C6" s="1" cm="1">
        <f t="array" aca="1" ref="C6" ca="1">_FV(B6,"Price")</f>
        <v>151.63999999999999</v>
      </c>
      <c r="D6" s="2" cm="1">
        <f t="array" aca="1" ref="D6" ca="1">_FV(B6,"Change (%)",TRUE)</f>
        <v>3.075E-3</v>
      </c>
    </row>
    <row r="7" spans="1:4" x14ac:dyDescent="0.25">
      <c r="A7" t="s">
        <v>56</v>
      </c>
      <c r="B7" t="e" vm="76">
        <v>#VALUE!</v>
      </c>
      <c r="C7" s="1" cm="1">
        <f t="array" aca="1" ref="C7" ca="1">_FV(B7,"Price")</f>
        <v>48.65</v>
      </c>
      <c r="D7" s="2" cm="1">
        <f t="array" aca="1" ref="D7" ca="1">_FV(B7,"Change (%)",TRUE)</f>
        <v>3.3E-3</v>
      </c>
    </row>
    <row r="8" spans="1:4" x14ac:dyDescent="0.25">
      <c r="A8" t="s">
        <v>59</v>
      </c>
      <c r="B8" t="e" vm="77">
        <v>#VALUE!</v>
      </c>
      <c r="C8" s="1" cm="1">
        <f t="array" aca="1" ref="C8" ca="1">_FV(B8,"Price")</f>
        <v>51.41</v>
      </c>
      <c r="D8" s="2" cm="1">
        <f t="array" aca="1" ref="D8" ca="1">_FV(B8,"Change (%)",TRUE)</f>
        <v>1.949E-3</v>
      </c>
    </row>
    <row r="9" spans="1:4" x14ac:dyDescent="0.25">
      <c r="A9" t="s">
        <v>61</v>
      </c>
      <c r="B9" t="e" vm="78">
        <v>#VALUE!</v>
      </c>
      <c r="C9" s="1" cm="1">
        <f t="array" aca="1" ref="C9" ca="1">_FV(B9,"Price")</f>
        <v>133.9</v>
      </c>
      <c r="D9" s="2" cm="1">
        <f t="array" aca="1" ref="D9" ca="1">_FV(B9,"Change (%)",TRUE)</f>
        <v>1.946E-3</v>
      </c>
    </row>
    <row r="10" spans="1:4" x14ac:dyDescent="0.25">
      <c r="A10" t="s">
        <v>60</v>
      </c>
      <c r="B10" t="e" vm="79">
        <v>#VALUE!</v>
      </c>
      <c r="C10" s="1" cm="1">
        <f t="array" aca="1" ref="C10" ca="1">_FV(B10,"Price")</f>
        <v>62.94</v>
      </c>
      <c r="D10" s="2" cm="1">
        <f t="array" aca="1" ref="D10" ca="1">_FV(B10,"Change (%)",TRUE)</f>
        <v>-1.586E-3</v>
      </c>
    </row>
    <row r="11" spans="1:4" x14ac:dyDescent="0.25">
      <c r="A11" t="s">
        <v>54</v>
      </c>
      <c r="B11" t="e" vm="80">
        <v>#VALUE!</v>
      </c>
      <c r="C11" s="1" cm="1">
        <f t="array" aca="1" ref="C11" ca="1">_FV(B11,"Price")</f>
        <v>220.15</v>
      </c>
      <c r="D11" s="2" cm="1">
        <f t="array" aca="1" ref="D11" ca="1">_FV(B11,"Change (%)",TRUE)</f>
        <v>-2.2710000000000002E-4</v>
      </c>
    </row>
    <row r="12" spans="1:4" x14ac:dyDescent="0.25">
      <c r="A12" t="s">
        <v>64</v>
      </c>
      <c r="B12" t="e" vm="81">
        <v>#VALUE!</v>
      </c>
      <c r="C12" s="1" cm="1">
        <f t="array" aca="1" ref="C12" ca="1">_FV(B12,"Price")</f>
        <v>121.99</v>
      </c>
      <c r="D12" s="2" cm="1">
        <f t="array" aca="1" ref="D12" ca="1">_FV(B12,"Change (%)",TRUE)</f>
        <v>5.7410000000000002E-4</v>
      </c>
    </row>
    <row r="13" spans="1:4" x14ac:dyDescent="0.25">
      <c r="A13" t="s">
        <v>62</v>
      </c>
      <c r="B13" t="e" vm="82">
        <v>#VALUE!</v>
      </c>
      <c r="C13" s="1" cm="1">
        <f t="array" aca="1" ref="C13" ca="1">_FV(B13,"Price")</f>
        <v>215.02</v>
      </c>
      <c r="D13" s="2" cm="1">
        <f t="array" aca="1" ref="D13" ca="1">_FV(B13,"Change (%)",TRUE)</f>
        <v>6.981E-4</v>
      </c>
    </row>
    <row r="14" spans="1:4" x14ac:dyDescent="0.25">
      <c r="A14" t="s">
        <v>5</v>
      </c>
      <c r="B14" t="e" vm="1">
        <v>#VALUE!</v>
      </c>
      <c r="C14" s="1" cm="1">
        <f t="array" aca="1" ref="C14" ca="1">_FV(B14,"Price")</f>
        <v>760.81</v>
      </c>
      <c r="D14" s="2" cm="1">
        <f t="array" aca="1" ref="D14" ca="1">_FV(B14,"Change (%)",TRUE)</f>
        <v>-4.5529999999999998E-3</v>
      </c>
    </row>
    <row r="15" spans="1:4" x14ac:dyDescent="0.25">
      <c r="A15" t="s">
        <v>51</v>
      </c>
      <c r="B15" t="e" vm="83">
        <v>#VALUE!</v>
      </c>
      <c r="C15" s="1" cm="1">
        <f t="array" aca="1" ref="C15" ca="1">_FV(B15,"Price")</f>
        <v>432.28</v>
      </c>
      <c r="D15" s="2" cm="1">
        <f t="array" aca="1" ref="D15" ca="1">_FV(B15,"Change (%)",TRUE)</f>
        <v>-4.1240000000000001E-3</v>
      </c>
    </row>
    <row r="16" spans="1:4" x14ac:dyDescent="0.25">
      <c r="A16" t="s">
        <v>53</v>
      </c>
      <c r="B16" t="e" vm="84">
        <v>#VALUE!</v>
      </c>
      <c r="C16" s="1" cm="1">
        <f t="array" aca="1" ref="C16" ca="1">_FV(B16,"Price")</f>
        <v>47.752600000000001</v>
      </c>
      <c r="D16" s="2" cm="1">
        <f t="array" aca="1" ref="D16" ca="1">_FV(B16,"Change (%)",TRUE)</f>
        <v>-5.0130000000000001E-3</v>
      </c>
    </row>
    <row r="17" spans="1:4" x14ac:dyDescent="0.25">
      <c r="A17" t="s">
        <v>65</v>
      </c>
      <c r="B17" t="e" vm="85">
        <v>#VALUE!</v>
      </c>
      <c r="C17" s="1" cm="1">
        <f t="array" aca="1" ref="C17" ca="1">_FV(B17,"Price")</f>
        <v>65.180999999999997</v>
      </c>
      <c r="D17" s="2" cm="1">
        <f t="array" aca="1" ref="D17" ca="1">_FV(B17,"Change (%)",TRUE)</f>
        <v>-1.8273999999999999E-2</v>
      </c>
    </row>
    <row r="18" spans="1:4" x14ac:dyDescent="0.25">
      <c r="A18" t="s">
        <v>58</v>
      </c>
      <c r="B18" t="e" vm="86">
        <v>#VALUE!</v>
      </c>
      <c r="C18" s="1" cm="1">
        <f t="array" aca="1" ref="C18" ca="1">_FV(B18,"Price")</f>
        <v>55.82</v>
      </c>
      <c r="D18" s="2" cm="1">
        <f t="array" aca="1" ref="D18" ca="1">_FV(B18,"Change (%)",TRUE)</f>
        <v>-2.1044999999999998E-2</v>
      </c>
    </row>
    <row r="19" spans="1:4" x14ac:dyDescent="0.25">
      <c r="A19" t="s">
        <v>57</v>
      </c>
      <c r="B19" t="e" vm="87">
        <v>#VALUE!</v>
      </c>
      <c r="C19" s="1" cm="1">
        <f t="array" aca="1" ref="C19" ca="1">_FV(B19,"Price")</f>
        <v>144.19999999999999</v>
      </c>
      <c r="D19" s="2" cm="1">
        <f t="array" aca="1" ref="D19" ca="1">_FV(B19,"Change (%)",TRUE)</f>
        <v>-2.7712000000000001E-2</v>
      </c>
    </row>
    <row r="20" spans="1:4" x14ac:dyDescent="0.25">
      <c r="A20" t="s">
        <v>52</v>
      </c>
      <c r="B20" t="e" vm="88">
        <v>#VALUE!</v>
      </c>
      <c r="C20" s="1" cm="1">
        <f t="array" aca="1" ref="C20" ca="1">_FV(B20,"Price")</f>
        <v>143.03</v>
      </c>
      <c r="D20" s="2" cm="1">
        <f t="array" aca="1" ref="D20" ca="1">_FV(B20,"Change (%)",TRUE)</f>
        <v>-3.4624999999999996E-2</v>
      </c>
    </row>
  </sheetData>
  <autoFilter ref="A1:D1" xr:uid="{160AA96A-81D6-4BE2-9770-0BD4A66A1284}">
    <sortState xmlns:xlrd2="http://schemas.microsoft.com/office/spreadsheetml/2017/richdata2" ref="A2:D20">
      <sortCondition descending="1" ref="D1"/>
    </sortState>
  </autoFilter>
  <conditionalFormatting sqref="D2:D20">
    <cfRule type="cellIs" dxfId="29" priority="1" operator="greaterThan">
      <formula>0</formula>
    </cfRule>
    <cfRule type="cellIs" dxfId="28" priority="2" operator="lessThan">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68628-B279-4CD1-9B6E-A6D6D959BE04}">
  <dimension ref="A1:D8"/>
  <sheetViews>
    <sheetView workbookViewId="0">
      <selection activeCell="A2" sqref="A2:A8"/>
    </sheetView>
  </sheetViews>
  <sheetFormatPr defaultRowHeight="15" x14ac:dyDescent="0.25"/>
  <cols>
    <col min="2" max="2" width="39.5703125" bestFit="1" customWidth="1"/>
  </cols>
  <sheetData>
    <row r="1" spans="1:4" x14ac:dyDescent="0.25">
      <c r="A1" t="s">
        <v>0</v>
      </c>
      <c r="B1" t="s">
        <v>189</v>
      </c>
      <c r="C1" t="s">
        <v>187</v>
      </c>
      <c r="D1" t="s">
        <v>188</v>
      </c>
    </row>
    <row r="2" spans="1:4" x14ac:dyDescent="0.25">
      <c r="A2" t="s">
        <v>74</v>
      </c>
      <c r="B2" t="e" vm="89">
        <v>#VALUE!</v>
      </c>
      <c r="C2" s="1" cm="1">
        <f t="array" aca="1" ref="C2" ca="1">_FV(B2,"Price")</f>
        <v>665.6</v>
      </c>
      <c r="D2" s="2" cm="1">
        <f t="array" aca="1" ref="D2" ca="1">_FV(B2,"Change (%)",TRUE)</f>
        <v>2.7113000000000002E-2</v>
      </c>
    </row>
    <row r="3" spans="1:4" x14ac:dyDescent="0.25">
      <c r="A3" t="s">
        <v>75</v>
      </c>
      <c r="B3" t="e" vm="90">
        <v>#VALUE!</v>
      </c>
      <c r="C3" s="1" cm="1">
        <f t="array" aca="1" ref="C3" ca="1">_FV(B3,"Price")</f>
        <v>253.54</v>
      </c>
      <c r="D3" s="2" cm="1">
        <f t="array" aca="1" ref="D3" ca="1">_FV(B3,"Change (%)",TRUE)</f>
        <v>-1.2618000000000001E-2</v>
      </c>
    </row>
    <row r="4" spans="1:4" x14ac:dyDescent="0.25">
      <c r="A4" t="s">
        <v>73</v>
      </c>
      <c r="B4" t="e" vm="91">
        <v>#VALUE!</v>
      </c>
      <c r="C4" s="1" cm="1">
        <f t="array" aca="1" ref="C4" ca="1">_FV(B4,"Price")</f>
        <v>505.41</v>
      </c>
      <c r="D4" s="2" cm="1">
        <f t="array" aca="1" ref="D4" ca="1">_FV(B4,"Change (%)",TRUE)</f>
        <v>1.9732E-2</v>
      </c>
    </row>
    <row r="5" spans="1:4" x14ac:dyDescent="0.25">
      <c r="A5" t="s">
        <v>70</v>
      </c>
      <c r="B5" t="e" vm="92">
        <v>#VALUE!</v>
      </c>
      <c r="C5" s="1" cm="1">
        <f t="array" aca="1" ref="C5" ca="1">_FV(B5,"Price")</f>
        <v>345.71</v>
      </c>
      <c r="D5" s="2" cm="1">
        <f t="array" aca="1" ref="D5" ca="1">_FV(B5,"Change (%)",TRUE)</f>
        <v>3.0586000000000002E-2</v>
      </c>
    </row>
    <row r="6" spans="1:4" x14ac:dyDescent="0.25">
      <c r="A6" t="s">
        <v>71</v>
      </c>
      <c r="B6" t="e" vm="93">
        <v>#VALUE!</v>
      </c>
      <c r="C6" s="1" cm="1">
        <f t="array" aca="1" ref="C6" ca="1">_FV(B6,"Price")</f>
        <v>333.08</v>
      </c>
      <c r="D6" s="2" cm="1">
        <f t="array" aca="1" ref="D6" ca="1">_FV(B6,"Change (%)",TRUE)</f>
        <v>2.4380000000000001E-3</v>
      </c>
    </row>
    <row r="7" spans="1:4" x14ac:dyDescent="0.25">
      <c r="A7" t="s">
        <v>72</v>
      </c>
      <c r="B7" t="e" vm="94">
        <v>#VALUE!</v>
      </c>
      <c r="C7" s="1" cm="1">
        <f t="array" aca="1" ref="C7" ca="1">_FV(B7,"Price")</f>
        <v>210.96</v>
      </c>
      <c r="D7" s="2" cm="1">
        <f t="array" aca="1" ref="D7" ca="1">_FV(B7,"Change (%)",TRUE)</f>
        <v>-3.3578999999999998E-2</v>
      </c>
    </row>
    <row r="8" spans="1:4" x14ac:dyDescent="0.25">
      <c r="A8" t="s">
        <v>69</v>
      </c>
      <c r="B8" t="e" vm="95">
        <v>#VALUE!</v>
      </c>
      <c r="C8" s="1" cm="1">
        <f t="array" aca="1" ref="C8" ca="1">_FV(B8,"Price")</f>
        <v>358.97</v>
      </c>
      <c r="D8" s="2" cm="1">
        <f t="array" aca="1" ref="D8" ca="1">_FV(B8,"Change (%)",TRUE)</f>
        <v>-1.7704999999999999E-2</v>
      </c>
    </row>
  </sheetData>
  <autoFilter ref="A1:D1" xr:uid="{DAA68628-B279-4CD1-9B6E-A6D6D959BE04}">
    <sortState xmlns:xlrd2="http://schemas.microsoft.com/office/spreadsheetml/2017/richdata2" ref="A2:D8">
      <sortCondition descending="1" ref="D1"/>
    </sortState>
  </autoFilter>
  <conditionalFormatting sqref="D2:D8">
    <cfRule type="cellIs" dxfId="27" priority="1" operator="greaterThan">
      <formula>0</formula>
    </cfRule>
    <cfRule type="cellIs" dxfId="26" priority="2"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90A14-F89B-4DC4-A2AB-BF3E94913A6C}">
  <dimension ref="A1:D7"/>
  <sheetViews>
    <sheetView zoomScaleNormal="100" workbookViewId="0">
      <selection sqref="A1:XFD1"/>
    </sheetView>
  </sheetViews>
  <sheetFormatPr defaultRowHeight="15" x14ac:dyDescent="0.25"/>
  <cols>
    <col min="2" max="2" width="34.140625" bestFit="1" customWidth="1"/>
  </cols>
  <sheetData>
    <row r="1" spans="1:4" x14ac:dyDescent="0.25">
      <c r="A1" t="s">
        <v>0</v>
      </c>
      <c r="B1" t="s">
        <v>189</v>
      </c>
      <c r="C1" t="s">
        <v>187</v>
      </c>
      <c r="D1" t="s">
        <v>188</v>
      </c>
    </row>
    <row r="2" spans="1:4" x14ac:dyDescent="0.25">
      <c r="A2" t="s">
        <v>78</v>
      </c>
      <c r="B2" t="e" vm="96">
        <v>#VALUE!</v>
      </c>
      <c r="C2" s="1" cm="1">
        <f t="array" aca="1" ref="C2" ca="1">_FV(B2,"Price")</f>
        <v>134.13</v>
      </c>
      <c r="D2" s="2" cm="1">
        <f t="array" aca="1" ref="D2" ca="1">_FV(B2,"Change (%)",TRUE)</f>
        <v>-4.0100000000000005E-3</v>
      </c>
    </row>
    <row r="3" spans="1:4" x14ac:dyDescent="0.25">
      <c r="A3" t="s">
        <v>80</v>
      </c>
      <c r="B3" t="e" vm="97">
        <v>#VALUE!</v>
      </c>
      <c r="C3" s="1" cm="1">
        <f t="array" aca="1" ref="C3" ca="1">_FV(B3,"Price")</f>
        <v>164.93</v>
      </c>
      <c r="D3" s="2" cm="1">
        <f t="array" aca="1" ref="D3" ca="1">_FV(B3,"Change (%)",TRUE)</f>
        <v>-9.1909999999999995E-3</v>
      </c>
    </row>
    <row r="4" spans="1:4" x14ac:dyDescent="0.25">
      <c r="A4" t="s">
        <v>79</v>
      </c>
      <c r="B4" t="e" vm="98">
        <v>#VALUE!</v>
      </c>
      <c r="C4" s="1" cm="1">
        <f t="array" aca="1" ref="C4" ca="1">_FV(B4,"Price")</f>
        <v>144.38</v>
      </c>
      <c r="D4" s="2" cm="1">
        <f t="array" aca="1" ref="D4" ca="1">_FV(B4,"Change (%)",TRUE)</f>
        <v>-5.7159999999999997E-3</v>
      </c>
    </row>
    <row r="5" spans="1:4" x14ac:dyDescent="0.25">
      <c r="A5" t="s">
        <v>77</v>
      </c>
      <c r="B5" t="e" vm="99">
        <v>#VALUE!</v>
      </c>
      <c r="C5" s="1" cm="1">
        <f t="array" aca="1" ref="C5" ca="1">_FV(B5,"Price")</f>
        <v>234.96</v>
      </c>
      <c r="D5" s="2" cm="1">
        <f t="array" aca="1" ref="D5" ca="1">_FV(B5,"Change (%)",TRUE)</f>
        <v>-1.5299999999999999E-3</v>
      </c>
    </row>
    <row r="6" spans="1:4" x14ac:dyDescent="0.25">
      <c r="A6" t="s">
        <v>76</v>
      </c>
      <c r="B6" t="e" vm="100">
        <v>#VALUE!</v>
      </c>
      <c r="C6" s="1" cm="1">
        <f t="array" aca="1" ref="C6" ca="1">_FV(B6,"Price")</f>
        <v>138.32</v>
      </c>
      <c r="D6" s="2" cm="1">
        <f t="array" aca="1" ref="D6" ca="1">_FV(B6,"Change (%)",TRUE)</f>
        <v>-7.1060000000000003E-3</v>
      </c>
    </row>
    <row r="7" spans="1:4" x14ac:dyDescent="0.25">
      <c r="A7" t="s">
        <v>81</v>
      </c>
      <c r="B7" t="e" vm="101">
        <v>#VALUE!</v>
      </c>
      <c r="C7" s="1" cm="1">
        <f t="array" aca="1" ref="C7" ca="1">_FV(B7,"Price")</f>
        <v>110.07</v>
      </c>
      <c r="D7" s="2" cm="1">
        <f t="array" aca="1" ref="D7" ca="1">_FV(B7,"Change (%)",TRUE)</f>
        <v>-1.3002E-2</v>
      </c>
    </row>
  </sheetData>
  <autoFilter ref="A1:D1" xr:uid="{D3C90A14-F89B-4DC4-A2AB-BF3E94913A6C}">
    <sortState xmlns:xlrd2="http://schemas.microsoft.com/office/spreadsheetml/2017/richdata2" ref="A2:D7">
      <sortCondition descending="1" ref="D1"/>
    </sortState>
  </autoFilter>
  <conditionalFormatting sqref="D2:D7">
    <cfRule type="cellIs" dxfId="25" priority="1" operator="greaterThan">
      <formula>0</formula>
    </cfRule>
    <cfRule type="cellIs" dxfId="24" priority="2" operator="lessThan">
      <formula>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6D0B-5518-4F2A-A133-1E511EB98FBD}">
  <dimension ref="A1:D8"/>
  <sheetViews>
    <sheetView workbookViewId="0">
      <selection activeCell="A3" sqref="A3:XFD3"/>
    </sheetView>
  </sheetViews>
  <sheetFormatPr defaultRowHeight="15" x14ac:dyDescent="0.25"/>
  <cols>
    <col min="2" max="2" width="36.42578125" bestFit="1" customWidth="1"/>
  </cols>
  <sheetData>
    <row r="1" spans="1:4" x14ac:dyDescent="0.25">
      <c r="A1" t="s">
        <v>0</v>
      </c>
      <c r="B1" t="s">
        <v>189</v>
      </c>
      <c r="C1" t="s">
        <v>187</v>
      </c>
      <c r="D1" t="s">
        <v>188</v>
      </c>
    </row>
    <row r="2" spans="1:4" x14ac:dyDescent="0.25">
      <c r="A2" t="s">
        <v>82</v>
      </c>
      <c r="B2" t="e" vm="102">
        <v>#VALUE!</v>
      </c>
      <c r="C2" s="1" cm="1">
        <f t="array" aca="1" ref="C2" ca="1">_FV(B2,"Price")</f>
        <v>74.849999999999994</v>
      </c>
      <c r="D2" s="2" cm="1">
        <f t="array" aca="1" ref="D2" ca="1">_FV(B2,"Change (%)",TRUE)</f>
        <v>-8.2944999999999991E-2</v>
      </c>
    </row>
    <row r="3" spans="1:4" x14ac:dyDescent="0.25">
      <c r="A3" t="s">
        <v>84</v>
      </c>
      <c r="B3" t="e" vm="103">
        <v>#VALUE!</v>
      </c>
      <c r="C3" s="1" cm="1">
        <f t="array" aca="1" ref="C3" ca="1">_FV(B3,"Price")</f>
        <v>64.11</v>
      </c>
      <c r="D3" s="2" cm="1">
        <f t="array" aca="1" ref="D3" ca="1">_FV(B3,"Change (%)",TRUE)</f>
        <v>-1.0801E-2</v>
      </c>
    </row>
    <row r="4" spans="1:4" x14ac:dyDescent="0.25">
      <c r="A4" t="s">
        <v>194</v>
      </c>
      <c r="B4" t="e" vm="104">
        <v>#VALUE!</v>
      </c>
      <c r="C4" s="1" cm="1">
        <f t="array" aca="1" ref="C4" ca="1">_FV(B4,"Price")</f>
        <v>59.07</v>
      </c>
      <c r="D4" s="2" cm="1">
        <f t="array" aca="1" ref="D4" ca="1">_FV(B4,"Change (%)",TRUE)</f>
        <v>6.1319999999999994E-3</v>
      </c>
    </row>
    <row r="5" spans="1:4" x14ac:dyDescent="0.25">
      <c r="A5" t="s">
        <v>87</v>
      </c>
      <c r="B5" t="e" vm="105">
        <v>#VALUE!</v>
      </c>
      <c r="C5" s="1" cm="1">
        <f t="array" aca="1" ref="C5" ca="1">_FV(B5,"Price")</f>
        <v>63.61</v>
      </c>
      <c r="D5" s="2" cm="1">
        <f t="array" aca="1" ref="D5" ca="1">_FV(B5,"Change (%)",TRUE)</f>
        <v>-2.6328000000000001E-2</v>
      </c>
    </row>
    <row r="6" spans="1:4" x14ac:dyDescent="0.25">
      <c r="A6" t="s">
        <v>83</v>
      </c>
      <c r="B6" t="e" vm="106">
        <v>#VALUE!</v>
      </c>
      <c r="C6" s="1" cm="1">
        <f t="array" aca="1" ref="C6" ca="1">_FV(B6,"Price")</f>
        <v>69.27</v>
      </c>
      <c r="D6" s="2" cm="1">
        <f t="array" aca="1" ref="D6" ca="1">_FV(B6,"Change (%)",TRUE)</f>
        <v>-2.4091000000000001E-2</v>
      </c>
    </row>
    <row r="7" spans="1:4" x14ac:dyDescent="0.25">
      <c r="A7" t="s">
        <v>85</v>
      </c>
      <c r="B7" t="e" vm="107">
        <v>#VALUE!</v>
      </c>
      <c r="C7" s="1" cm="1">
        <f t="array" aca="1" ref="C7" ca="1">_FV(B7,"Price")</f>
        <v>279.14</v>
      </c>
      <c r="D7" s="2" cm="1">
        <f t="array" aca="1" ref="D7" ca="1">_FV(B7,"Change (%)",TRUE)</f>
        <v>-1.3395999999999998E-2</v>
      </c>
    </row>
    <row r="8" spans="1:4" x14ac:dyDescent="0.25">
      <c r="A8" t="s">
        <v>86</v>
      </c>
      <c r="B8" t="e" vm="108">
        <v>#VALUE!</v>
      </c>
      <c r="C8" s="1" cm="1">
        <f t="array" aca="1" ref="C8" ca="1">_FV(B8,"Price")</f>
        <v>69.19</v>
      </c>
      <c r="D8" s="2" cm="1">
        <f t="array" aca="1" ref="D8" ca="1">_FV(B8,"Change (%)",TRUE)</f>
        <v>-7.6020000000000003E-3</v>
      </c>
    </row>
  </sheetData>
  <autoFilter ref="A1:D1" xr:uid="{16876D0B-5518-4F2A-A133-1E511EB98FBD}">
    <sortState xmlns:xlrd2="http://schemas.microsoft.com/office/spreadsheetml/2017/richdata2" ref="A2:D8">
      <sortCondition descending="1" ref="D1"/>
    </sortState>
  </autoFilter>
  <conditionalFormatting sqref="D2:D8">
    <cfRule type="cellIs" dxfId="23" priority="1" operator="greaterThan">
      <formula>0</formula>
    </cfRule>
    <cfRule type="cellIs" dxfId="22" priority="2" operator="lessThan">
      <formula>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4653D-993B-4C87-A16F-4C55473FC2E8}">
  <dimension ref="A1:D7"/>
  <sheetViews>
    <sheetView workbookViewId="0">
      <selection sqref="A1:XFD1"/>
    </sheetView>
  </sheetViews>
  <sheetFormatPr defaultRowHeight="15" x14ac:dyDescent="0.25"/>
  <cols>
    <col min="2" max="2" width="34.42578125" bestFit="1" customWidth="1"/>
  </cols>
  <sheetData>
    <row r="1" spans="1:4" x14ac:dyDescent="0.25">
      <c r="A1" t="s">
        <v>0</v>
      </c>
      <c r="B1" t="s">
        <v>189</v>
      </c>
      <c r="C1" t="s">
        <v>187</v>
      </c>
      <c r="D1" t="s">
        <v>188</v>
      </c>
    </row>
    <row r="2" spans="1:4" x14ac:dyDescent="0.25">
      <c r="A2" t="s">
        <v>91</v>
      </c>
      <c r="B2" t="e" vm="109">
        <v>#VALUE!</v>
      </c>
      <c r="C2" s="1" cm="1">
        <f t="array" aca="1" ref="C2" ca="1">_FV(B2,"Price")</f>
        <v>127.12569999999999</v>
      </c>
      <c r="D2" s="2" cm="1">
        <f t="array" aca="1" ref="D2" ca="1">_FV(B2,"Change (%)",TRUE)</f>
        <v>-1.8327E-2</v>
      </c>
    </row>
    <row r="3" spans="1:4" x14ac:dyDescent="0.25">
      <c r="A3" t="s">
        <v>88</v>
      </c>
      <c r="B3" t="e" vm="110">
        <v>#VALUE!</v>
      </c>
      <c r="C3" s="1" cm="1">
        <f t="array" aca="1" ref="C3" ca="1">_FV(B3,"Price")</f>
        <v>51.75</v>
      </c>
      <c r="D3" s="2" cm="1">
        <f t="array" aca="1" ref="D3" ca="1">_FV(B3,"Change (%)",TRUE)</f>
        <v>-1.0893999999999999E-2</v>
      </c>
    </row>
    <row r="4" spans="1:4" x14ac:dyDescent="0.25">
      <c r="A4" t="s">
        <v>89</v>
      </c>
      <c r="B4" t="e" vm="111">
        <v>#VALUE!</v>
      </c>
      <c r="C4" s="1" cm="1">
        <f t="array" aca="1" ref="C4" ca="1">_FV(B4,"Price")</f>
        <v>59.997</v>
      </c>
      <c r="D4" s="2" cm="1">
        <f t="array" aca="1" ref="D4" ca="1">_FV(B4,"Change (%)",TRUE)</f>
        <v>-3.7099999999999998E-3</v>
      </c>
    </row>
    <row r="5" spans="1:4" x14ac:dyDescent="0.25">
      <c r="A5" t="s">
        <v>54</v>
      </c>
      <c r="B5" t="e" vm="80">
        <v>#VALUE!</v>
      </c>
      <c r="C5" s="1" cm="1">
        <f t="array" aca="1" ref="C5" ca="1">_FV(B5,"Price")</f>
        <v>220.15</v>
      </c>
      <c r="D5" s="2" cm="1">
        <f t="array" aca="1" ref="D5" ca="1">_FV(B5,"Change (%)",TRUE)</f>
        <v>-2.2710000000000002E-4</v>
      </c>
    </row>
    <row r="6" spans="1:4" x14ac:dyDescent="0.25">
      <c r="A6" t="s">
        <v>68</v>
      </c>
      <c r="B6" t="e" vm="75">
        <v>#VALUE!</v>
      </c>
      <c r="C6" s="1" cm="1">
        <f t="array" aca="1" ref="C6" ca="1">_FV(B6,"Price")</f>
        <v>151.63999999999999</v>
      </c>
      <c r="D6" s="2" cm="1">
        <f t="array" aca="1" ref="D6" ca="1">_FV(B6,"Change (%)",TRUE)</f>
        <v>3.075E-3</v>
      </c>
    </row>
    <row r="7" spans="1:4" x14ac:dyDescent="0.25">
      <c r="A7" t="s">
        <v>90</v>
      </c>
      <c r="B7" t="e" vm="112">
        <v>#VALUE!</v>
      </c>
      <c r="C7" s="1" cm="1">
        <f t="array" aca="1" ref="C7" ca="1">_FV(B7,"Price")</f>
        <v>68.412099999999995</v>
      </c>
      <c r="D7" s="2" cm="1">
        <f t="array" aca="1" ref="D7" ca="1">_FV(B7,"Change (%)",TRUE)</f>
        <v>-9.2500000000000013E-3</v>
      </c>
    </row>
  </sheetData>
  <autoFilter ref="A1:D1" xr:uid="{0C84653D-993B-4C87-A16F-4C55473FC2E8}">
    <sortState xmlns:xlrd2="http://schemas.microsoft.com/office/spreadsheetml/2017/richdata2" ref="A2:D7">
      <sortCondition descending="1" ref="D1"/>
    </sortState>
  </autoFilter>
  <conditionalFormatting sqref="D2:D7">
    <cfRule type="cellIs" dxfId="21" priority="1" operator="greaterThan">
      <formula>0</formula>
    </cfRule>
    <cfRule type="cellIs" dxfId="20" priority="2"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C68C-381E-4D36-B0EC-FC873087CD67}">
  <dimension ref="A1:D18"/>
  <sheetViews>
    <sheetView workbookViewId="0">
      <selection sqref="A1:XFD1"/>
    </sheetView>
  </sheetViews>
  <sheetFormatPr defaultRowHeight="15" x14ac:dyDescent="0.25"/>
  <cols>
    <col min="2" max="2" width="38.140625" bestFit="1" customWidth="1"/>
  </cols>
  <sheetData>
    <row r="1" spans="1:4" x14ac:dyDescent="0.25">
      <c r="A1" t="s">
        <v>0</v>
      </c>
      <c r="B1" t="s">
        <v>189</v>
      </c>
      <c r="C1" t="s">
        <v>187</v>
      </c>
      <c r="D1" t="s">
        <v>188</v>
      </c>
    </row>
    <row r="2" spans="1:4" x14ac:dyDescent="0.25">
      <c r="A2" t="s">
        <v>97</v>
      </c>
      <c r="B2" t="e" vm="113">
        <v>#VALUE!</v>
      </c>
      <c r="C2" s="1" cm="1">
        <f t="array" aca="1" ref="C2" ca="1">_FV(B2,"Price")</f>
        <v>104.3</v>
      </c>
      <c r="D2" s="2" cm="1">
        <f t="array" aca="1" ref="D2" ca="1">_FV(B2,"Change (%)",TRUE)</f>
        <v>-1.917E-4</v>
      </c>
    </row>
    <row r="3" spans="1:4" x14ac:dyDescent="0.25">
      <c r="A3" t="s">
        <v>98</v>
      </c>
      <c r="B3" t="e" vm="114">
        <v>#VALUE!</v>
      </c>
      <c r="C3" s="1" cm="1">
        <f t="array" aca="1" ref="C3" ca="1">_FV(B3,"Price")</f>
        <v>29.94</v>
      </c>
      <c r="D3" s="2" cm="1">
        <f t="array" aca="1" ref="D3" ca="1">_FV(B3,"Change (%)",TRUE)</f>
        <v>-6.9649999999999998E-3</v>
      </c>
    </row>
    <row r="4" spans="1:4" x14ac:dyDescent="0.25">
      <c r="A4" t="s">
        <v>108</v>
      </c>
      <c r="B4" t="e" vm="115">
        <v>#VALUE!</v>
      </c>
      <c r="C4" s="1" cm="1">
        <f t="array" aca="1" ref="C4" ca="1">_FV(B4,"Price")</f>
        <v>103.11</v>
      </c>
      <c r="D4" s="2" cm="1">
        <f t="array" aca="1" ref="D4" ca="1">_FV(B4,"Change (%)",TRUE)</f>
        <v>-5.8160000000000004E-4</v>
      </c>
    </row>
    <row r="5" spans="1:4" x14ac:dyDescent="0.25">
      <c r="A5" t="s">
        <v>96</v>
      </c>
      <c r="B5" t="e" vm="116">
        <v>#VALUE!</v>
      </c>
      <c r="C5" s="1" cm="1">
        <f t="array" aca="1" ref="C5" ca="1">_FV(B5,"Price")</f>
        <v>93.22</v>
      </c>
      <c r="D5" s="2" cm="1">
        <f t="array" aca="1" ref="D5" ca="1">_FV(B5,"Change (%)",TRUE)</f>
        <v>-1.2859999999999998E-3</v>
      </c>
    </row>
    <row r="6" spans="1:4" x14ac:dyDescent="0.25">
      <c r="A6" t="s">
        <v>99</v>
      </c>
      <c r="B6" t="e" vm="5">
        <v>#VALUE!</v>
      </c>
      <c r="C6" s="1" cm="1">
        <f t="array" aca="1" ref="C6" ca="1">_FV(B6,"Price")</f>
        <v>90.93</v>
      </c>
      <c r="D6" s="2" cm="1">
        <f t="array" aca="1" ref="D6" ca="1">_FV(B6,"Change (%)",TRUE)</f>
        <v>-8.7900000000000001E-4</v>
      </c>
    </row>
    <row r="7" spans="1:4" x14ac:dyDescent="0.25">
      <c r="A7" t="s">
        <v>106</v>
      </c>
      <c r="B7" t="e" vm="117">
        <v>#VALUE!</v>
      </c>
      <c r="C7" s="1" cm="1">
        <f t="array" aca="1" ref="C7" ca="1">_FV(B7,"Price")</f>
        <v>46.93</v>
      </c>
      <c r="D7" s="2" cm="1">
        <f t="array" aca="1" ref="D7" ca="1">_FV(B7,"Change (%)",TRUE)</f>
        <v>-1.2770000000000001E-3</v>
      </c>
    </row>
    <row r="8" spans="1:4" x14ac:dyDescent="0.25">
      <c r="A8" t="s">
        <v>94</v>
      </c>
      <c r="B8" t="e" vm="118">
        <v>#VALUE!</v>
      </c>
      <c r="C8" s="1" cm="1">
        <f t="array" aca="1" ref="C8" ca="1">_FV(B8,"Price")</f>
        <v>95.045000000000002</v>
      </c>
      <c r="D8" s="2" cm="1">
        <f t="array" aca="1" ref="D8" ca="1">_FV(B8,"Change (%)",TRUE)</f>
        <v>3.6839999999999996E-4</v>
      </c>
    </row>
    <row r="9" spans="1:4" x14ac:dyDescent="0.25">
      <c r="A9" t="s">
        <v>102</v>
      </c>
      <c r="B9" t="e" vm="119">
        <v>#VALUE!</v>
      </c>
      <c r="C9" s="1" cm="1">
        <f t="array" aca="1" ref="C9" ca="1">_FV(B9,"Price")</f>
        <v>105.83</v>
      </c>
      <c r="D9" s="2" cm="1">
        <f t="array" aca="1" ref="D9" ca="1">_FV(B9,"Change (%)",TRUE)</f>
        <v>-9.4480000000000003E-5</v>
      </c>
    </row>
    <row r="10" spans="1:4" x14ac:dyDescent="0.25">
      <c r="A10" t="s">
        <v>101</v>
      </c>
      <c r="B10" t="e" vm="120">
        <v>#VALUE!</v>
      </c>
      <c r="C10" s="1" cm="1">
        <f t="array" aca="1" ref="C10" ca="1">_FV(B10,"Price")</f>
        <v>95.89</v>
      </c>
      <c r="D10" s="2" cm="1">
        <f t="array" aca="1" ref="D10" ca="1">_FV(B10,"Change (%)",TRUE)</f>
        <v>-9.3770000000000008E-4</v>
      </c>
    </row>
    <row r="11" spans="1:4" x14ac:dyDescent="0.25">
      <c r="A11" t="s">
        <v>104</v>
      </c>
      <c r="B11" t="e" vm="121">
        <v>#VALUE!</v>
      </c>
      <c r="C11" s="1" cm="1">
        <f t="array" aca="1" ref="C11" ca="1">_FV(B11,"Price")</f>
        <v>114.45</v>
      </c>
      <c r="D11" s="2" cm="1">
        <f t="array" aca="1" ref="D11" ca="1">_FV(B11,"Change (%)",TRUE)</f>
        <v>-8.7300000000000008E-4</v>
      </c>
    </row>
    <row r="12" spans="1:4" x14ac:dyDescent="0.25">
      <c r="A12" t="s">
        <v>93</v>
      </c>
      <c r="B12" t="e" vm="122">
        <v>#VALUE!</v>
      </c>
      <c r="C12" s="1" cm="1">
        <f t="array" aca="1" ref="C12" ca="1">_FV(B12,"Price")</f>
        <v>80.930000000000007</v>
      </c>
      <c r="D12" s="2" cm="1">
        <f t="array" aca="1" ref="D12" ca="1">_FV(B12,"Change (%)",TRUE)</f>
        <v>7.4190000000000009E-4</v>
      </c>
    </row>
    <row r="13" spans="1:4" x14ac:dyDescent="0.25">
      <c r="A13" t="s">
        <v>100</v>
      </c>
      <c r="B13" t="e" vm="123">
        <v>#VALUE!</v>
      </c>
      <c r="C13" s="1" cm="1">
        <f t="array" aca="1" ref="C13" ca="1">_FV(B13,"Price")</f>
        <v>22.14</v>
      </c>
      <c r="D13" s="2" cm="1">
        <f t="array" aca="1" ref="D13" ca="1">_FV(B13,"Change (%)",TRUE)</f>
        <v>-4.5150000000000002E-4</v>
      </c>
    </row>
    <row r="14" spans="1:4" x14ac:dyDescent="0.25">
      <c r="A14" t="s">
        <v>105</v>
      </c>
      <c r="B14" t="e" vm="124">
        <v>#VALUE!</v>
      </c>
      <c r="C14" s="1" cm="1">
        <f t="array" aca="1" ref="C14" ca="1">_FV(B14,"Price")</f>
        <v>81.34</v>
      </c>
      <c r="D14" s="2" cm="1">
        <f t="array" aca="1" ref="D14" ca="1">_FV(B14,"Change (%)",TRUE)</f>
        <v>-3.6870000000000002E-4</v>
      </c>
    </row>
    <row r="15" spans="1:4" x14ac:dyDescent="0.25">
      <c r="A15" t="s">
        <v>103</v>
      </c>
      <c r="B15" t="e" vm="125">
        <v>#VALUE!</v>
      </c>
      <c r="C15" s="1" cm="1">
        <f t="array" aca="1" ref="C15" ca="1">_FV(B15,"Price")</f>
        <v>78.53</v>
      </c>
      <c r="D15" s="2" cm="1">
        <f t="array" aca="1" ref="D15" ca="1">_FV(B15,"Change (%)",TRUE)</f>
        <v>-8.9059999999999996E-4</v>
      </c>
    </row>
    <row r="16" spans="1:4" x14ac:dyDescent="0.25">
      <c r="A16" t="s">
        <v>95</v>
      </c>
      <c r="B16" t="e" vm="126">
        <v>#VALUE!</v>
      </c>
      <c r="C16" s="1" cm="1">
        <f t="array" aca="1" ref="C16" ca="1">_FV(B16,"Price")</f>
        <v>40.72</v>
      </c>
      <c r="D16" s="2" cm="1">
        <f t="array" aca="1" ref="D16" ca="1">_FV(B16,"Change (%)",TRUE)</f>
        <v>-4.888E-3</v>
      </c>
    </row>
    <row r="17" spans="1:4" x14ac:dyDescent="0.25">
      <c r="A17" t="s">
        <v>107</v>
      </c>
      <c r="B17" t="e" vm="127">
        <v>#VALUE!</v>
      </c>
      <c r="C17" s="1" cm="1">
        <f t="array" aca="1" ref="C17" ca="1">_FV(B17,"Price")</f>
        <v>20.61</v>
      </c>
      <c r="D17" s="2" cm="1">
        <f t="array" aca="1" ref="D17" ca="1">_FV(B17,"Change (%)",TRUE)</f>
        <v>9.7129999999999992E-4</v>
      </c>
    </row>
    <row r="18" spans="1:4" x14ac:dyDescent="0.25">
      <c r="A18" t="s">
        <v>92</v>
      </c>
      <c r="B18" t="e" vm="128">
        <v>#VALUE!</v>
      </c>
      <c r="C18" s="1" cm="1">
        <f t="array" aca="1" ref="C18" ca="1">_FV(B18,"Price")</f>
        <v>57.98</v>
      </c>
      <c r="D18" s="2" cm="1">
        <f t="array" aca="1" ref="D18" ca="1">_FV(B18,"Change (%)",TRUE)</f>
        <v>3.114E-3</v>
      </c>
    </row>
  </sheetData>
  <autoFilter ref="A1:D1" xr:uid="{D7ADC68C-381E-4D36-B0EC-FC873087CD67}">
    <sortState xmlns:xlrd2="http://schemas.microsoft.com/office/spreadsheetml/2017/richdata2" ref="A2:D18">
      <sortCondition descending="1" ref="D1"/>
    </sortState>
  </autoFilter>
  <conditionalFormatting sqref="D2:D18">
    <cfRule type="cellIs" dxfId="19" priority="1" operator="greaterThan">
      <formula>0</formula>
    </cfRule>
    <cfRule type="cellIs" dxfId="18" priority="2" operator="less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03C8B-EE30-4732-A32E-6667AFF9D7E8}">
  <dimension ref="A1:D23"/>
  <sheetViews>
    <sheetView workbookViewId="0">
      <selection sqref="A1:XFD1"/>
    </sheetView>
  </sheetViews>
  <sheetFormatPr defaultRowHeight="15" x14ac:dyDescent="0.25"/>
  <cols>
    <col min="2" max="2" width="38.85546875" bestFit="1" customWidth="1"/>
  </cols>
  <sheetData>
    <row r="1" spans="1:4" x14ac:dyDescent="0.25">
      <c r="A1" t="s">
        <v>0</v>
      </c>
      <c r="B1" t="s">
        <v>189</v>
      </c>
      <c r="C1" t="s">
        <v>187</v>
      </c>
      <c r="D1" t="s">
        <v>188</v>
      </c>
    </row>
    <row r="2" spans="1:4" x14ac:dyDescent="0.25">
      <c r="A2" t="s">
        <v>114</v>
      </c>
      <c r="B2" t="e" vm="129">
        <v>#VALUE!</v>
      </c>
      <c r="C2" s="1" cm="1">
        <f t="array" aca="1" ref="C2" ca="1">_FV(B2,"Price")</f>
        <v>42.18</v>
      </c>
      <c r="D2" s="2" cm="1">
        <f t="array" aca="1" ref="D2" ca="1">_FV(B2,"Change (%)",TRUE)</f>
        <v>-3.1013000000000002E-2</v>
      </c>
    </row>
    <row r="3" spans="1:4" x14ac:dyDescent="0.25">
      <c r="A3" t="s">
        <v>111</v>
      </c>
      <c r="B3" t="e" vm="130">
        <v>#VALUE!</v>
      </c>
      <c r="C3" s="1" cm="1">
        <f t="array" aca="1" ref="C3" ca="1">_FV(B3,"Price")</f>
        <v>15.9</v>
      </c>
      <c r="D3" s="2" cm="1">
        <f t="array" aca="1" ref="D3" ca="1">_FV(B3,"Change (%)",TRUE)</f>
        <v>-2.214E-2</v>
      </c>
    </row>
    <row r="4" spans="1:4" x14ac:dyDescent="0.25">
      <c r="A4" t="s">
        <v>117</v>
      </c>
      <c r="B4" t="e" vm="131">
        <v>#VALUE!</v>
      </c>
      <c r="C4" s="1" cm="1">
        <f t="array" aca="1" ref="C4" ca="1">_FV(B4,"Price")</f>
        <v>23.25</v>
      </c>
      <c r="D4" s="2" cm="1">
        <f t="array" aca="1" ref="D4" ca="1">_FV(B4,"Change (%)",TRUE)</f>
        <v>-1.5664999999999998E-2</v>
      </c>
    </row>
    <row r="5" spans="1:4" x14ac:dyDescent="0.25">
      <c r="A5" t="s">
        <v>110</v>
      </c>
      <c r="B5" t="e" vm="132">
        <v>#VALUE!</v>
      </c>
      <c r="C5" s="1" cm="1">
        <f t="array" aca="1" ref="C5" ca="1">_FV(B5,"Price")</f>
        <v>56.844999999999999</v>
      </c>
      <c r="D5" s="2" cm="1">
        <f t="array" aca="1" ref="D5" ca="1">_FV(B5,"Change (%)",TRUE)</f>
        <v>-2.1937000000000002E-2</v>
      </c>
    </row>
    <row r="6" spans="1:4" x14ac:dyDescent="0.25">
      <c r="A6" t="s">
        <v>112</v>
      </c>
      <c r="B6" t="e" vm="133">
        <v>#VALUE!</v>
      </c>
      <c r="C6" s="1" cm="1">
        <f t="array" aca="1" ref="C6" ca="1">_FV(B6,"Price")</f>
        <v>38.32</v>
      </c>
      <c r="D6" s="2" cm="1">
        <f t="array" aca="1" ref="D6" ca="1">_FV(B6,"Change (%)",TRUE)</f>
        <v>-2.1949999999999997E-2</v>
      </c>
    </row>
    <row r="7" spans="1:4" x14ac:dyDescent="0.25">
      <c r="A7" t="s">
        <v>115</v>
      </c>
      <c r="B7" t="e" vm="134">
        <v>#VALUE!</v>
      </c>
      <c r="C7" s="1" cm="1">
        <f t="array" aca="1" ref="C7" ca="1">_FV(B7,"Price")</f>
        <v>110.22</v>
      </c>
      <c r="D7" s="2" cm="1">
        <f t="array" aca="1" ref="D7" ca="1">_FV(B7,"Change (%)",TRUE)</f>
        <v>-3.0009999999999998E-2</v>
      </c>
    </row>
    <row r="8" spans="1:4" x14ac:dyDescent="0.25">
      <c r="A8" t="s">
        <v>118</v>
      </c>
      <c r="B8" t="e" vm="135">
        <v>#VALUE!</v>
      </c>
      <c r="C8" s="1" cm="1">
        <f t="array" aca="1" ref="C8" ca="1">_FV(B8,"Price")</f>
        <v>70.259900000000002</v>
      </c>
      <c r="D8" s="2" cm="1">
        <f t="array" aca="1" ref="D8" ca="1">_FV(B8,"Change (%)",TRUE)</f>
        <v>-7.0679999999999996E-3</v>
      </c>
    </row>
    <row r="9" spans="1:4" x14ac:dyDescent="0.25">
      <c r="A9" t="s">
        <v>120</v>
      </c>
      <c r="B9" t="e" vm="136">
        <v>#VALUE!</v>
      </c>
      <c r="C9" s="1" cm="1">
        <f t="array" aca="1" ref="C9" ca="1">_FV(B9,"Price")</f>
        <v>69.97</v>
      </c>
      <c r="D9" s="2" cm="1">
        <f t="array" aca="1" ref="D9" ca="1">_FV(B9,"Change (%)",TRUE)</f>
        <v>-2.1262E-2</v>
      </c>
    </row>
    <row r="10" spans="1:4" x14ac:dyDescent="0.25">
      <c r="A10" t="s">
        <v>119</v>
      </c>
      <c r="B10" t="e" vm="7">
        <v>#VALUE!</v>
      </c>
      <c r="C10" s="1" cm="1">
        <f t="array" aca="1" ref="C10" ca="1">_FV(B10,"Price")</f>
        <v>156.63999999999999</v>
      </c>
      <c r="D10" s="2" cm="1">
        <f t="array" aca="1" ref="D10" ca="1">_FV(B10,"Change (%)",TRUE)</f>
        <v>1.1233E-2</v>
      </c>
    </row>
    <row r="11" spans="1:4" x14ac:dyDescent="0.25">
      <c r="A11" t="s">
        <v>122</v>
      </c>
      <c r="B11" t="e" vm="137">
        <v>#VALUE!</v>
      </c>
      <c r="C11" s="1" cm="1">
        <f t="array" aca="1" ref="C11" ca="1">_FV(B11,"Price")</f>
        <v>88.46</v>
      </c>
      <c r="D11" s="2" cm="1">
        <f t="array" aca="1" ref="D11" ca="1">_FV(B11,"Change (%)",TRUE)</f>
        <v>-1.5361E-2</v>
      </c>
    </row>
    <row r="12" spans="1:4" x14ac:dyDescent="0.25">
      <c r="A12" t="s">
        <v>116</v>
      </c>
      <c r="B12" t="e" vm="138">
        <v>#VALUE!</v>
      </c>
      <c r="C12" s="1" cm="1">
        <f t="array" aca="1" ref="C12" ca="1">_FV(B12,"Price")</f>
        <v>138.27000000000001</v>
      </c>
      <c r="D12" s="2" cm="1">
        <f t="array" aca="1" ref="D12" ca="1">_FV(B12,"Change (%)",TRUE)</f>
        <v>-3.0999999999999999E-3</v>
      </c>
    </row>
    <row r="13" spans="1:4" x14ac:dyDescent="0.25">
      <c r="A13" t="s">
        <v>129</v>
      </c>
      <c r="B13" t="e" vm="139">
        <v>#VALUE!</v>
      </c>
      <c r="C13" s="1" cm="1">
        <f t="array" aca="1" ref="C13" ca="1">_FV(B13,"Price")</f>
        <v>11.45</v>
      </c>
      <c r="D13" s="2" cm="1">
        <f t="array" aca="1" ref="D13" ca="1">_FV(B13,"Change (%)",TRUE)</f>
        <v>-6.0760000000000007E-3</v>
      </c>
    </row>
    <row r="14" spans="1:4" x14ac:dyDescent="0.25">
      <c r="A14" t="s">
        <v>113</v>
      </c>
      <c r="B14" t="e" vm="140">
        <v>#VALUE!</v>
      </c>
      <c r="C14" s="1" cm="1">
        <f t="array" aca="1" ref="C14" ca="1">_FV(B14,"Price")</f>
        <v>25.06</v>
      </c>
      <c r="D14" s="2" cm="1">
        <f t="array" aca="1" ref="D14" ca="1">_FV(B14,"Change (%)",TRUE)</f>
        <v>-1.3774E-2</v>
      </c>
    </row>
    <row r="15" spans="1:4" x14ac:dyDescent="0.25">
      <c r="A15" t="s">
        <v>125</v>
      </c>
      <c r="B15" t="e" vm="141">
        <v>#VALUE!</v>
      </c>
      <c r="C15" s="1" cm="1">
        <f t="array" aca="1" ref="C15" ca="1">_FV(B15,"Price")</f>
        <v>47.79</v>
      </c>
      <c r="D15" s="2" cm="1">
        <f t="array" aca="1" ref="D15" ca="1">_FV(B15,"Change (%)",TRUE)</f>
        <v>-4.79E-3</v>
      </c>
    </row>
    <row r="16" spans="1:4" x14ac:dyDescent="0.25">
      <c r="A16" t="s">
        <v>157</v>
      </c>
      <c r="B16" t="e" vm="142">
        <v>#VALUE!</v>
      </c>
      <c r="C16" s="1" cm="1">
        <f t="array" aca="1" ref="C16" ca="1">_FV(B16,"Price")</f>
        <v>392.78</v>
      </c>
      <c r="D16" s="2" cm="1">
        <f t="array" aca="1" ref="D16" ca="1">_FV(B16,"Change (%)",TRUE)</f>
        <v>-1.5021E-2</v>
      </c>
    </row>
    <row r="17" spans="1:4" x14ac:dyDescent="0.25">
      <c r="A17" t="s">
        <v>123</v>
      </c>
      <c r="B17" t="e" vm="143">
        <v>#VALUE!</v>
      </c>
      <c r="C17" s="1" cm="1">
        <f t="array" aca="1" ref="C17" ca="1">_FV(B17,"Price")</f>
        <v>86.32</v>
      </c>
      <c r="D17" s="2" cm="1">
        <f t="array" aca="1" ref="D17" ca="1">_FV(B17,"Change (%)",TRUE)</f>
        <v>-1.8500000000000001E-3</v>
      </c>
    </row>
    <row r="18" spans="1:4" x14ac:dyDescent="0.25">
      <c r="A18" t="s">
        <v>121</v>
      </c>
      <c r="B18" t="e" vm="144">
        <v>#VALUE!</v>
      </c>
      <c r="C18" s="1" cm="1">
        <f t="array" aca="1" ref="C18" ca="1">_FV(B18,"Price")</f>
        <v>33.15</v>
      </c>
      <c r="D18" s="2" cm="1">
        <f t="array" aca="1" ref="D18" ca="1">_FV(B18,"Change (%)",TRUE)</f>
        <v>-3.0160000000000001E-4</v>
      </c>
    </row>
    <row r="19" spans="1:4" x14ac:dyDescent="0.25">
      <c r="A19" t="s">
        <v>128</v>
      </c>
      <c r="B19" t="e" vm="145">
        <v>#VALUE!</v>
      </c>
      <c r="C19" s="1" cm="1">
        <f t="array" aca="1" ref="C19" ca="1">_FV(B19,"Price")</f>
        <v>28.96</v>
      </c>
      <c r="D19" s="2" cm="1">
        <f t="array" aca="1" ref="D19" ca="1">_FV(B19,"Change (%)",TRUE)</f>
        <v>1.0369999999999999E-3</v>
      </c>
    </row>
    <row r="20" spans="1:4" x14ac:dyDescent="0.25">
      <c r="A20" t="s">
        <v>124</v>
      </c>
      <c r="B20" t="e" vm="146">
        <v>#VALUE!</v>
      </c>
      <c r="C20" s="1" cm="1">
        <f t="array" aca="1" ref="C20" ca="1">_FV(B20,"Price")</f>
        <v>27.69</v>
      </c>
      <c r="D20" s="2" cm="1">
        <f t="array" aca="1" ref="D20" ca="1">_FV(B20,"Change (%)",TRUE)</f>
        <v>6.9089999999999993E-3</v>
      </c>
    </row>
    <row r="21" spans="1:4" x14ac:dyDescent="0.25">
      <c r="A21" t="s">
        <v>126</v>
      </c>
      <c r="B21" t="e" vm="147">
        <v>#VALUE!</v>
      </c>
      <c r="C21" s="1" cm="1">
        <f t="array" aca="1" ref="C21" ca="1">_FV(B21,"Price")</f>
        <v>26.17</v>
      </c>
      <c r="D21" s="2" cm="1">
        <f t="array" aca="1" ref="D21" ca="1">_FV(B21,"Change (%)",TRUE)</f>
        <v>-3.0480000000000004E-3</v>
      </c>
    </row>
    <row r="22" spans="1:4" x14ac:dyDescent="0.25">
      <c r="A22" t="s">
        <v>127</v>
      </c>
      <c r="B22" t="e" vm="148">
        <v>#VALUE!</v>
      </c>
      <c r="C22" s="1" cm="1">
        <f t="array" aca="1" ref="C22" ca="1">_FV(B22,"Price")</f>
        <v>20.02</v>
      </c>
      <c r="D22" s="2" cm="1">
        <f t="array" aca="1" ref="D22" ca="1">_FV(B22,"Change (%)",TRUE)</f>
        <v>5.0200000000000002E-3</v>
      </c>
    </row>
    <row r="23" spans="1:4" x14ac:dyDescent="0.25">
      <c r="A23" t="s">
        <v>109</v>
      </c>
      <c r="B23" t="e" vm="149">
        <v>#VALUE!</v>
      </c>
      <c r="C23" s="1" cm="1">
        <f t="array" aca="1" ref="C23" ca="1">_FV(B23,"Price")</f>
        <v>10.324999999999999</v>
      </c>
      <c r="D23" s="2" cm="1">
        <f t="array" aca="1" ref="D23" ca="1">_FV(B23,"Change (%)",TRUE)</f>
        <v>1.5240999999999999E-2</v>
      </c>
    </row>
  </sheetData>
  <autoFilter ref="A1:D1" xr:uid="{55E03C8B-EE30-4732-A32E-6667AFF9D7E8}">
    <sortState xmlns:xlrd2="http://schemas.microsoft.com/office/spreadsheetml/2017/richdata2" ref="A2:D23">
      <sortCondition descending="1" ref="D1"/>
    </sortState>
  </autoFilter>
  <conditionalFormatting sqref="D2:D23">
    <cfRule type="cellIs" dxfId="17" priority="1" operator="greaterThan">
      <formula>0</formula>
    </cfRule>
    <cfRule type="cellIs" dxfId="16" priority="2" operator="lessThan">
      <formula>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E67DB-BF4B-4E65-9DEE-2D4E2BF5B5DB}">
  <dimension ref="A1:D29"/>
  <sheetViews>
    <sheetView workbookViewId="0">
      <selection activeCell="D1" sqref="D1"/>
    </sheetView>
  </sheetViews>
  <sheetFormatPr defaultRowHeight="15" x14ac:dyDescent="0.25"/>
  <cols>
    <col min="2" max="2" width="38" bestFit="1" customWidth="1"/>
  </cols>
  <sheetData>
    <row r="1" spans="1:4" x14ac:dyDescent="0.25">
      <c r="A1" t="s">
        <v>0</v>
      </c>
      <c r="B1" t="s">
        <v>189</v>
      </c>
      <c r="C1" t="s">
        <v>187</v>
      </c>
      <c r="D1" t="s">
        <v>188</v>
      </c>
    </row>
    <row r="2" spans="1:4" x14ac:dyDescent="0.25">
      <c r="A2" t="s">
        <v>149</v>
      </c>
      <c r="B2" t="e" vm="150">
        <v>#VALUE!</v>
      </c>
      <c r="C2" s="1" cm="1">
        <f t="array" aca="1" ref="C2" ca="1">_FV(B2,"Price")</f>
        <v>176.19</v>
      </c>
      <c r="D2" s="2" cm="1">
        <f t="array" aca="1" ref="D2" ca="1">_FV(B2,"Change (%)",TRUE)</f>
        <v>-6.6394999999999996E-2</v>
      </c>
    </row>
    <row r="3" spans="1:4" x14ac:dyDescent="0.25">
      <c r="A3" t="s">
        <v>130</v>
      </c>
      <c r="B3" t="e" vm="11">
        <v>#VALUE!</v>
      </c>
      <c r="C3" s="1" cm="1">
        <f t="array" aca="1" ref="C3" ca="1">_FV(B3,"Price")</f>
        <v>34.844999999999999</v>
      </c>
      <c r="D3" s="2" cm="1">
        <f t="array" aca="1" ref="D3" ca="1">_FV(B3,"Change (%)",TRUE)</f>
        <v>1.0293000000000002E-2</v>
      </c>
    </row>
    <row r="4" spans="1:4" x14ac:dyDescent="0.25">
      <c r="A4" t="s">
        <v>137</v>
      </c>
      <c r="B4" t="e" vm="151">
        <v>#VALUE!</v>
      </c>
      <c r="C4" s="1" cm="1">
        <f t="array" aca="1" ref="C4" ca="1">_FV(B4,"Price")</f>
        <v>107.21</v>
      </c>
      <c r="D4" s="2" cm="1">
        <f t="array" aca="1" ref="D4" ca="1">_FV(B4,"Change (%)",TRUE)</f>
        <v>-3.3360000000000001E-2</v>
      </c>
    </row>
    <row r="5" spans="1:4" x14ac:dyDescent="0.25">
      <c r="A5" t="s">
        <v>132</v>
      </c>
      <c r="B5" t="e" vm="152">
        <v>#VALUE!</v>
      </c>
      <c r="C5" s="1" cm="1">
        <f t="array" aca="1" ref="C5" ca="1">_FV(B5,"Price")</f>
        <v>22.72</v>
      </c>
      <c r="D5" s="2" cm="1">
        <f t="array" aca="1" ref="D5" ca="1">_FV(B5,"Change (%)",TRUE)</f>
        <v>8.881E-3</v>
      </c>
    </row>
    <row r="6" spans="1:4" x14ac:dyDescent="0.25">
      <c r="A6" t="s">
        <v>138</v>
      </c>
      <c r="B6" t="e" vm="153">
        <v>#VALUE!</v>
      </c>
      <c r="C6" s="1" cm="1">
        <f t="array" aca="1" ref="C6" ca="1">_FV(B6,"Price")</f>
        <v>65.97</v>
      </c>
      <c r="D6" s="2" cm="1">
        <f t="array" aca="1" ref="D6" ca="1">_FV(B6,"Change (%)",TRUE)</f>
        <v>-2.7564999999999999E-2</v>
      </c>
    </row>
    <row r="7" spans="1:4" x14ac:dyDescent="0.25">
      <c r="A7" t="s">
        <v>142</v>
      </c>
      <c r="B7" t="e" vm="154">
        <v>#VALUE!</v>
      </c>
      <c r="C7" s="1" cm="1">
        <f t="array" aca="1" ref="C7" ca="1">_FV(B7,"Price")</f>
        <v>66.53</v>
      </c>
      <c r="D7" s="2" cm="1">
        <f t="array" aca="1" ref="D7" ca="1">_FV(B7,"Change (%)",TRUE)</f>
        <v>-1.9310000000000001E-2</v>
      </c>
    </row>
    <row r="8" spans="1:4" x14ac:dyDescent="0.25">
      <c r="A8" t="s">
        <v>134</v>
      </c>
      <c r="B8" t="e" vm="155">
        <v>#VALUE!</v>
      </c>
      <c r="C8" s="1" cm="1">
        <f t="array" aca="1" ref="C8" ca="1">_FV(B8,"Price")</f>
        <v>48.43</v>
      </c>
      <c r="D8" s="2" cm="1">
        <f t="array" aca="1" ref="D8" ca="1">_FV(B8,"Change (%)",TRUE)</f>
        <v>-2.882E-3</v>
      </c>
    </row>
    <row r="9" spans="1:4" x14ac:dyDescent="0.25">
      <c r="A9" t="s">
        <v>136</v>
      </c>
      <c r="B9" t="e" vm="156">
        <v>#VALUE!</v>
      </c>
      <c r="C9" s="1" cm="1">
        <f t="array" aca="1" ref="C9" ca="1">_FV(B9,"Price")</f>
        <v>29.06</v>
      </c>
      <c r="D9" s="2" cm="1">
        <f t="array" aca="1" ref="D9" ca="1">_FV(B9,"Change (%)",TRUE)</f>
        <v>-7.175E-3</v>
      </c>
    </row>
    <row r="10" spans="1:4" x14ac:dyDescent="0.25">
      <c r="A10" t="s">
        <v>144</v>
      </c>
      <c r="B10" t="e" vm="157">
        <v>#VALUE!</v>
      </c>
      <c r="C10" s="1" cm="1">
        <f t="array" aca="1" ref="C10" ca="1">_FV(B10,"Price")</f>
        <v>84.09</v>
      </c>
      <c r="D10" s="2" cm="1">
        <f t="array" aca="1" ref="D10" ca="1">_FV(B10,"Change (%)",TRUE)</f>
        <v>-1.2796E-2</v>
      </c>
    </row>
    <row r="11" spans="1:4" x14ac:dyDescent="0.25">
      <c r="A11" t="s">
        <v>156</v>
      </c>
      <c r="B11" t="e" vm="158">
        <v>#VALUE!</v>
      </c>
      <c r="C11" s="1" cm="1">
        <f t="array" aca="1" ref="C11" ca="1">_FV(B11,"Price")</f>
        <v>20.05</v>
      </c>
      <c r="D11" s="2" cm="1">
        <f t="array" aca="1" ref="D11" ca="1">_FV(B11,"Change (%)",TRUE)</f>
        <v>8.0440000000000008E-3</v>
      </c>
    </row>
    <row r="12" spans="1:4" x14ac:dyDescent="0.25">
      <c r="A12" t="s">
        <v>131</v>
      </c>
      <c r="B12" t="e" vm="159">
        <v>#VALUE!</v>
      </c>
      <c r="C12" s="1" cm="1">
        <f t="array" aca="1" ref="C12" ca="1">_FV(B12,"Price")</f>
        <v>39.770000000000003</v>
      </c>
      <c r="D12" s="2" cm="1">
        <f t="array" aca="1" ref="D12" ca="1">_FV(B12,"Change (%)",TRUE)</f>
        <v>-1.6567999999999999E-2</v>
      </c>
    </row>
    <row r="13" spans="1:4" x14ac:dyDescent="0.25">
      <c r="A13" t="s">
        <v>155</v>
      </c>
      <c r="B13" t="e" vm="160">
        <v>#VALUE!</v>
      </c>
      <c r="C13" s="1" cm="1">
        <f t="array" aca="1" ref="C13" ca="1">_FV(B13,"Price")</f>
        <v>37.799999999999997</v>
      </c>
      <c r="D13" s="2" cm="1">
        <f t="array" aca="1" ref="D13" ca="1">_FV(B13,"Change (%)",TRUE)</f>
        <v>-1.0989000000000001E-2</v>
      </c>
    </row>
    <row r="14" spans="1:4" x14ac:dyDescent="0.25">
      <c r="A14" t="s">
        <v>147</v>
      </c>
      <c r="B14" t="e" vm="9">
        <v>#VALUE!</v>
      </c>
      <c r="C14" s="1" cm="1">
        <f t="array" aca="1" ref="C14" ca="1">_FV(B14,"Price")</f>
        <v>97.58</v>
      </c>
      <c r="D14" s="2" cm="1">
        <f t="array" aca="1" ref="D14" ca="1">_FV(B14,"Change (%)",TRUE)</f>
        <v>-9.9430000000000004E-3</v>
      </c>
    </row>
    <row r="15" spans="1:4" x14ac:dyDescent="0.25">
      <c r="A15" t="s">
        <v>152</v>
      </c>
      <c r="B15" t="e" vm="161">
        <v>#VALUE!</v>
      </c>
      <c r="C15" s="1" cm="1">
        <f t="array" aca="1" ref="C15" ca="1">_FV(B15,"Price")</f>
        <v>44.51</v>
      </c>
      <c r="D15" s="2" cm="1">
        <f t="array" aca="1" ref="D15" ca="1">_FV(B15,"Change (%)",TRUE)</f>
        <v>-9.3480000000000004E-3</v>
      </c>
    </row>
    <row r="16" spans="1:4" x14ac:dyDescent="0.25">
      <c r="A16" t="s">
        <v>5</v>
      </c>
      <c r="B16" t="e" vm="1">
        <v>#VALUE!</v>
      </c>
      <c r="C16" s="1" cm="1">
        <f t="array" aca="1" ref="C16" ca="1">_FV(B16,"Price")</f>
        <v>760.81</v>
      </c>
      <c r="D16" s="2" cm="1">
        <f t="array" aca="1" ref="D16" ca="1">_FV(B16,"Change (%)",TRUE)</f>
        <v>-4.5529999999999998E-3</v>
      </c>
    </row>
    <row r="17" spans="1:4" x14ac:dyDescent="0.25">
      <c r="A17" t="s">
        <v>145</v>
      </c>
      <c r="B17" t="e" vm="162">
        <v>#VALUE!</v>
      </c>
      <c r="C17" s="1" cm="1">
        <f t="array" aca="1" ref="C17" ca="1">_FV(B17,"Price")</f>
        <v>55.2</v>
      </c>
      <c r="D17" s="2" cm="1">
        <f t="array" aca="1" ref="D17" ca="1">_FV(B17,"Change (%)",TRUE)</f>
        <v>-8.4730000000000014E-3</v>
      </c>
    </row>
    <row r="18" spans="1:4" x14ac:dyDescent="0.25">
      <c r="A18" t="s">
        <v>146</v>
      </c>
      <c r="B18" t="e" vm="163">
        <v>#VALUE!</v>
      </c>
      <c r="C18" s="1" cm="1">
        <f t="array" aca="1" ref="C18" ca="1">_FV(B18,"Price")</f>
        <v>47.91</v>
      </c>
      <c r="D18" s="2" cm="1">
        <f t="array" aca="1" ref="D18" ca="1">_FV(B18,"Change (%)",TRUE)</f>
        <v>-6.2579999999999992E-4</v>
      </c>
    </row>
    <row r="19" spans="1:4" x14ac:dyDescent="0.25">
      <c r="A19" t="s">
        <v>141</v>
      </c>
      <c r="B19" t="e" vm="164">
        <v>#VALUE!</v>
      </c>
      <c r="C19" s="1" cm="1">
        <f t="array" aca="1" ref="C19" ca="1">_FV(B19,"Price")</f>
        <v>60.49</v>
      </c>
      <c r="D19" s="2" cm="1">
        <f t="array" aca="1" ref="D19" ca="1">_FV(B19,"Change (%)",TRUE)</f>
        <v>3.1509999999999997E-3</v>
      </c>
    </row>
    <row r="20" spans="1:4" x14ac:dyDescent="0.25">
      <c r="A20" t="s">
        <v>148</v>
      </c>
      <c r="B20" t="e" vm="12">
        <v>#VALUE!</v>
      </c>
      <c r="C20" s="1" cm="1">
        <f t="array" aca="1" ref="C20" ca="1">_FV(B20,"Price")</f>
        <v>60.5</v>
      </c>
      <c r="D20" s="2" cm="1">
        <f t="array" aca="1" ref="D20" ca="1">_FV(B20,"Change (%)",TRUE)</f>
        <v>-1.3209999999999999E-3</v>
      </c>
    </row>
    <row r="21" spans="1:4" x14ac:dyDescent="0.25">
      <c r="A21" t="s">
        <v>151</v>
      </c>
      <c r="B21" t="e" vm="13">
        <v>#VALUE!</v>
      </c>
      <c r="C21" s="1" cm="1">
        <f t="array" aca="1" ref="C21" ca="1">_FV(B21,"Price")</f>
        <v>74.819999999999993</v>
      </c>
      <c r="D21" s="2" cm="1">
        <f t="array" aca="1" ref="D21" ca="1">_FV(B21,"Change (%)",TRUE)</f>
        <v>-7.4289999999999998E-3</v>
      </c>
    </row>
    <row r="22" spans="1:4" x14ac:dyDescent="0.25">
      <c r="A22" t="s">
        <v>139</v>
      </c>
      <c r="B22" t="e" vm="165">
        <v>#VALUE!</v>
      </c>
      <c r="C22" s="1" cm="1">
        <f t="array" aca="1" ref="C22" ca="1">_FV(B22,"Price")</f>
        <v>60.91</v>
      </c>
      <c r="D22" s="2" cm="1">
        <f t="array" aca="1" ref="D22" ca="1">_FV(B22,"Change (%)",TRUE)</f>
        <v>-1.6946000000000003E-2</v>
      </c>
    </row>
    <row r="23" spans="1:4" x14ac:dyDescent="0.25">
      <c r="A23" t="s">
        <v>154</v>
      </c>
      <c r="B23" t="e" vm="166">
        <v>#VALUE!</v>
      </c>
      <c r="C23" s="1" cm="1">
        <f t="array" aca="1" ref="C23" ca="1">_FV(B23,"Price")</f>
        <v>123.03</v>
      </c>
      <c r="D23" s="2" cm="1">
        <f t="array" aca="1" ref="D23" ca="1">_FV(B23,"Change (%)",TRUE)</f>
        <v>-5.5769999999999995E-3</v>
      </c>
    </row>
    <row r="24" spans="1:4" x14ac:dyDescent="0.25">
      <c r="A24" t="s">
        <v>133</v>
      </c>
      <c r="B24" t="e" vm="167">
        <v>#VALUE!</v>
      </c>
      <c r="C24" s="1" cm="1">
        <f t="array" aca="1" ref="C24" ca="1">_FV(B24,"Price")</f>
        <v>60.99</v>
      </c>
      <c r="D24" s="2" cm="1">
        <f t="array" aca="1" ref="D24" ca="1">_FV(B24,"Change (%)",TRUE)</f>
        <v>-1.8506999999999999E-2</v>
      </c>
    </row>
    <row r="25" spans="1:4" x14ac:dyDescent="0.25">
      <c r="A25" t="s">
        <v>143</v>
      </c>
      <c r="B25" t="e" vm="168">
        <v>#VALUE!</v>
      </c>
      <c r="C25" s="1" cm="1">
        <f t="array" aca="1" ref="C25" ca="1">_FV(B25,"Price")</f>
        <v>42.3</v>
      </c>
      <c r="D25" s="2" cm="1">
        <f t="array" aca="1" ref="D25" ca="1">_FV(B25,"Change (%)",TRUE)</f>
        <v>-3.7324000000000003E-2</v>
      </c>
    </row>
    <row r="26" spans="1:4" x14ac:dyDescent="0.25">
      <c r="A26" t="s">
        <v>153</v>
      </c>
      <c r="B26" t="e" vm="169">
        <v>#VALUE!</v>
      </c>
      <c r="C26" s="1" cm="1">
        <f t="array" aca="1" ref="C26" ca="1">_FV(B26,"Price")</f>
        <v>37.72</v>
      </c>
      <c r="D26" s="2" cm="1">
        <f t="array" aca="1" ref="D26" ca="1">_FV(B26,"Change (%)",TRUE)</f>
        <v>-1.2306999999999998E-2</v>
      </c>
    </row>
    <row r="27" spans="1:4" x14ac:dyDescent="0.25">
      <c r="A27" t="s">
        <v>140</v>
      </c>
      <c r="B27" t="e" vm="170">
        <v>#VALUE!</v>
      </c>
      <c r="C27" s="1" cm="1">
        <f t="array" aca="1" ref="C27" ca="1">_FV(B27,"Price")</f>
        <v>33.64</v>
      </c>
      <c r="D27" s="2" cm="1">
        <f t="array" aca="1" ref="D27" ca="1">_FV(B27,"Change (%)",TRUE)</f>
        <v>5.9489999999999999E-4</v>
      </c>
    </row>
    <row r="28" spans="1:4" x14ac:dyDescent="0.25">
      <c r="A28" t="s">
        <v>150</v>
      </c>
      <c r="B28" t="e" vm="171">
        <v>#VALUE!</v>
      </c>
      <c r="C28" s="1" cm="1">
        <f t="array" aca="1" ref="C28" ca="1">_FV(B28,"Price")</f>
        <v>42.71</v>
      </c>
      <c r="D28" s="2" cm="1">
        <f t="array" aca="1" ref="D28" ca="1">_FV(B28,"Change (%)",TRUE)</f>
        <v>-3.7319999999999996E-3</v>
      </c>
    </row>
    <row r="29" spans="1:4" x14ac:dyDescent="0.25">
      <c r="A29" t="s">
        <v>135</v>
      </c>
      <c r="B29" t="e" vm="172">
        <v>#VALUE!</v>
      </c>
      <c r="C29" s="1" cm="1">
        <f t="array" aca="1" ref="C29" ca="1">_FV(B29,"Price")</f>
        <v>17.34</v>
      </c>
      <c r="D29" s="2" cm="1">
        <f t="array" aca="1" ref="D29" ca="1">_FV(B29,"Change (%)",TRUE)</f>
        <v>-9.1430000000000001E-3</v>
      </c>
    </row>
  </sheetData>
  <autoFilter ref="A1:D1" xr:uid="{F72E67DB-BF4B-4E65-9DEE-2D4E2BF5B5DB}">
    <sortState xmlns:xlrd2="http://schemas.microsoft.com/office/spreadsheetml/2017/richdata2" ref="A2:D29">
      <sortCondition descending="1" ref="D1"/>
    </sortState>
  </autoFilter>
  <sortState xmlns:xlrd2="http://schemas.microsoft.com/office/spreadsheetml/2017/richdata2" ref="A2:B30">
    <sortCondition ref="A2:A30"/>
  </sortState>
  <conditionalFormatting sqref="D2:D29">
    <cfRule type="cellIs" dxfId="15" priority="1" operator="greaterThan">
      <formula>0</formula>
    </cfRule>
    <cfRule type="cellIs" dxfId="14" priority="2" operator="lessThan">
      <formula>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B694C-A78D-430A-B98B-CFC17F698E01}">
  <dimension ref="A1:D9"/>
  <sheetViews>
    <sheetView workbookViewId="0">
      <selection sqref="A1:XFD1"/>
    </sheetView>
  </sheetViews>
  <sheetFormatPr defaultRowHeight="15" x14ac:dyDescent="0.25"/>
  <cols>
    <col min="2" max="2" width="36.140625" bestFit="1" customWidth="1"/>
  </cols>
  <sheetData>
    <row r="1" spans="1:4" x14ac:dyDescent="0.25">
      <c r="A1" t="s">
        <v>0</v>
      </c>
      <c r="B1" t="s">
        <v>189</v>
      </c>
      <c r="C1" t="s">
        <v>187</v>
      </c>
      <c r="D1" t="s">
        <v>188</v>
      </c>
    </row>
    <row r="2" spans="1:4" x14ac:dyDescent="0.25">
      <c r="A2" t="s">
        <v>160</v>
      </c>
      <c r="B2" t="e" vm="173">
        <v>#VALUE!</v>
      </c>
      <c r="C2" s="1" cm="1">
        <f t="array" aca="1" ref="C2" ca="1">_FV(B2,"Price")</f>
        <v>70.680000000000007</v>
      </c>
      <c r="D2" s="2" cm="1">
        <f t="array" aca="1" ref="D2" ca="1">_FV(B2,"Change (%)",TRUE)</f>
        <v>-4.7660000000000003E-3</v>
      </c>
    </row>
    <row r="3" spans="1:4" x14ac:dyDescent="0.25">
      <c r="A3" t="s">
        <v>163</v>
      </c>
      <c r="B3" t="e" vm="174">
        <v>#VALUE!</v>
      </c>
      <c r="C3" s="1" cm="1">
        <f t="array" aca="1" ref="C3" ca="1">_FV(B3,"Price")</f>
        <v>59.43</v>
      </c>
      <c r="D3" s="2" cm="1">
        <f t="array" aca="1" ref="D3" ca="1">_FV(B3,"Change (%)",TRUE)</f>
        <v>-4.189E-3</v>
      </c>
    </row>
    <row r="4" spans="1:4" x14ac:dyDescent="0.25">
      <c r="A4" t="s">
        <v>158</v>
      </c>
      <c r="B4" t="e" vm="175">
        <v>#VALUE!</v>
      </c>
      <c r="C4" s="1" cm="1">
        <f t="array" aca="1" ref="C4" ca="1">_FV(B4,"Price")</f>
        <v>129.82929999999999</v>
      </c>
      <c r="D4" s="2" cm="1">
        <f t="array" aca="1" ref="D4" ca="1">_FV(B4,"Change (%)",TRUE)</f>
        <v>-1.459E-3</v>
      </c>
    </row>
    <row r="5" spans="1:4" x14ac:dyDescent="0.25">
      <c r="A5" t="s">
        <v>161</v>
      </c>
      <c r="B5" t="e" vm="176">
        <v>#VALUE!</v>
      </c>
      <c r="C5" s="1" cm="1">
        <f t="array" aca="1" ref="C5" ca="1">_FV(B5,"Price")</f>
        <v>106.55</v>
      </c>
      <c r="D5" s="2" cm="1">
        <f t="array" aca="1" ref="D5" ca="1">_FV(B5,"Change (%)",TRUE)</f>
        <v>-4.2989999999999999E-3</v>
      </c>
    </row>
    <row r="6" spans="1:4" x14ac:dyDescent="0.25">
      <c r="A6" t="s">
        <v>164</v>
      </c>
      <c r="B6" t="e" vm="177">
        <v>#VALUE!</v>
      </c>
      <c r="C6" s="1" cm="1">
        <f t="array" aca="1" ref="C6" ca="1">_FV(B6,"Price")</f>
        <v>107.7794</v>
      </c>
      <c r="D6" s="2" cm="1">
        <f t="array" aca="1" ref="D6" ca="1">_FV(B6,"Change (%)",TRUE)</f>
        <v>-1.1180000000000001E-3</v>
      </c>
    </row>
    <row r="7" spans="1:4" x14ac:dyDescent="0.25">
      <c r="A7" t="s">
        <v>162</v>
      </c>
      <c r="B7" t="e" vm="178">
        <v>#VALUE!</v>
      </c>
      <c r="C7" s="1" cm="1">
        <f t="array" aca="1" ref="C7" ca="1">_FV(B7,"Price")</f>
        <v>70.322599999999994</v>
      </c>
      <c r="D7" s="2" cm="1">
        <f t="array" aca="1" ref="D7" ca="1">_FV(B7,"Change (%)",TRUE)</f>
        <v>-2.7989999999999998E-3</v>
      </c>
    </row>
    <row r="8" spans="1:4" x14ac:dyDescent="0.25">
      <c r="A8" t="s">
        <v>159</v>
      </c>
      <c r="B8" t="e" vm="179">
        <v>#VALUE!</v>
      </c>
      <c r="C8" s="1" cm="1">
        <f t="array" aca="1" ref="C8" ca="1">_FV(B8,"Price")</f>
        <v>19.89</v>
      </c>
      <c r="D8" s="2" cm="1">
        <f t="array" aca="1" ref="D8" ca="1">_FV(B8,"Change (%)",TRUE)</f>
        <v>-7.4850000000000003E-3</v>
      </c>
    </row>
    <row r="9" spans="1:4" x14ac:dyDescent="0.25">
      <c r="A9" t="s">
        <v>165</v>
      </c>
      <c r="B9" t="e" vm="180">
        <v>#VALUE!</v>
      </c>
      <c r="C9" s="1" cm="1">
        <f t="array" aca="1" ref="C9" ca="1">_FV(B9,"Price")</f>
        <v>28.17</v>
      </c>
      <c r="D9" s="2" cm="1">
        <f t="array" aca="1" ref="D9" ca="1">_FV(B9,"Change (%)",TRUE)</f>
        <v>3.5630000000000002E-3</v>
      </c>
    </row>
  </sheetData>
  <autoFilter ref="A1:D1" xr:uid="{7B0B694C-A78D-430A-B98B-CFC17F698E01}">
    <sortState xmlns:xlrd2="http://schemas.microsoft.com/office/spreadsheetml/2017/richdata2" ref="A2:D9">
      <sortCondition descending="1" ref="D1"/>
    </sortState>
  </autoFilter>
  <conditionalFormatting sqref="D2:D9">
    <cfRule type="cellIs" dxfId="13" priority="1" operator="greaterThan">
      <formula>0</formula>
    </cfRule>
    <cfRule type="cellIs" dxfId="12" priority="2" operator="lessThan">
      <formula>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159BF-C17B-4581-ACC0-B3A7FA088775}">
  <dimension ref="A1:D4"/>
  <sheetViews>
    <sheetView workbookViewId="0">
      <selection activeCell="F3" sqref="F3"/>
    </sheetView>
  </sheetViews>
  <sheetFormatPr defaultRowHeight="15" x14ac:dyDescent="0.25"/>
  <cols>
    <col min="2" max="2" width="39.85546875" bestFit="1" customWidth="1"/>
  </cols>
  <sheetData>
    <row r="1" spans="1:4" x14ac:dyDescent="0.25">
      <c r="A1" t="s">
        <v>0</v>
      </c>
      <c r="B1" t="s">
        <v>189</v>
      </c>
      <c r="C1" t="s">
        <v>187</v>
      </c>
      <c r="D1" t="s">
        <v>188</v>
      </c>
    </row>
    <row r="2" spans="1:4" x14ac:dyDescent="0.25">
      <c r="A2" t="s">
        <v>205</v>
      </c>
      <c r="B2" t="e" vm="181">
        <v>#VALUE!</v>
      </c>
      <c r="C2" s="1" cm="1">
        <f t="array" aca="1" ref="C2" ca="1">_FV(B2,"Price")</f>
        <v>51.896700000000003</v>
      </c>
      <c r="D2" s="2" cm="1">
        <f t="array" aca="1" ref="D2" ca="1">_FV(B2,"Change (%)",TRUE)</f>
        <v>2.0743000000000001E-2</v>
      </c>
    </row>
    <row r="3" spans="1:4" x14ac:dyDescent="0.25">
      <c r="A3" t="s">
        <v>191</v>
      </c>
      <c r="B3" t="e" vm="6">
        <v>#VALUE!</v>
      </c>
      <c r="C3" s="1" cm="1">
        <f t="array" aca="1" ref="C3" ca="1">_FV(B3,"Price")</f>
        <v>44.74</v>
      </c>
      <c r="D3" s="2" cm="1">
        <f t="array" aca="1" ref="D3" ca="1">_FV(B3,"Change (%)",TRUE)</f>
        <v>2.2161E-2</v>
      </c>
    </row>
    <row r="4" spans="1:4" x14ac:dyDescent="0.25">
      <c r="A4" t="s">
        <v>199</v>
      </c>
      <c r="B4" t="e" vm="182">
        <v>#VALUE!</v>
      </c>
      <c r="C4" s="1" cm="1">
        <f t="array" aca="1" ref="C4" ca="1">_FV(B4,"Price")</f>
        <v>19.170000000000002</v>
      </c>
      <c r="D4" s="2" cm="1">
        <f t="array" aca="1" ref="D4" ca="1">_FV(B4,"Change (%)",TRUE)</f>
        <v>5.2190000000000005E-4</v>
      </c>
    </row>
  </sheetData>
  <autoFilter ref="A1:D1" xr:uid="{6B7159BF-C17B-4581-ACC0-B3A7FA088775}">
    <sortState xmlns:xlrd2="http://schemas.microsoft.com/office/spreadsheetml/2017/richdata2" ref="A2:D4">
      <sortCondition descending="1" ref="D1"/>
    </sortState>
  </autoFilter>
  <conditionalFormatting sqref="D2:D4">
    <cfRule type="cellIs" dxfId="11" priority="1" operator="greaterThan">
      <formula>0</formula>
    </cfRule>
    <cfRule type="cellIs" dxfId="10" priority="2" operator="lessThan">
      <formula>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A15CA-7FF8-4393-8CB8-D17BD69AF8FA}">
  <dimension ref="A1:D3"/>
  <sheetViews>
    <sheetView workbookViewId="0">
      <selection sqref="A1:XFD1"/>
    </sheetView>
  </sheetViews>
  <sheetFormatPr defaultRowHeight="15" x14ac:dyDescent="0.25"/>
  <cols>
    <col min="2" max="2" width="37.7109375" bestFit="1" customWidth="1"/>
  </cols>
  <sheetData>
    <row r="1" spans="1:4" x14ac:dyDescent="0.25">
      <c r="A1" t="s">
        <v>0</v>
      </c>
      <c r="B1" t="s">
        <v>189</v>
      </c>
      <c r="C1" t="s">
        <v>187</v>
      </c>
      <c r="D1" t="s">
        <v>188</v>
      </c>
    </row>
    <row r="2" spans="1:4" x14ac:dyDescent="0.25">
      <c r="A2" t="s">
        <v>178</v>
      </c>
      <c r="B2" t="e" vm="183">
        <v>#VALUE!</v>
      </c>
      <c r="C2" s="1" cm="1">
        <f t="array" aca="1" ref="C2" ca="1">_FV(B2,"Price")</f>
        <v>109.53</v>
      </c>
      <c r="D2" s="2" cm="1">
        <f t="array" aca="1" ref="D2" ca="1">_FV(B2,"Change (%)",TRUE)</f>
        <v>-3.2591000000000002E-2</v>
      </c>
    </row>
    <row r="3" spans="1:4" x14ac:dyDescent="0.25">
      <c r="A3" t="s">
        <v>166</v>
      </c>
      <c r="B3" t="e" vm="184">
        <v>#VALUE!</v>
      </c>
      <c r="C3" s="1" cm="1">
        <f t="array" aca="1" ref="C3" ca="1">_FV(B3,"Price")</f>
        <v>52.37</v>
      </c>
      <c r="D3" s="2" cm="1">
        <f t="array" aca="1" ref="D3" ca="1">_FV(B3,"Change (%)",TRUE)</f>
        <v>7.1149999999999998E-3</v>
      </c>
    </row>
  </sheetData>
  <autoFilter ref="A1:D1" xr:uid="{CB4A15CA-7FF8-4393-8CB8-D17BD69AF8FA}">
    <sortState xmlns:xlrd2="http://schemas.microsoft.com/office/spreadsheetml/2017/richdata2" ref="A2:D3">
      <sortCondition descending="1" ref="D1"/>
    </sortState>
  </autoFilter>
  <conditionalFormatting sqref="D2:D3">
    <cfRule type="cellIs" dxfId="9" priority="1" operator="greaterThan">
      <formula>0</formula>
    </cfRule>
    <cfRule type="cellIs" dxfId="8" priority="2" operator="lessThan">
      <formula>0</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132B-C28D-4BE0-8904-9CF58091B792}">
  <dimension ref="A1:D4"/>
  <sheetViews>
    <sheetView workbookViewId="0">
      <selection sqref="A1:XFD1"/>
    </sheetView>
  </sheetViews>
  <sheetFormatPr defaultRowHeight="15" x14ac:dyDescent="0.25"/>
  <cols>
    <col min="2" max="2" width="34.28515625" bestFit="1" customWidth="1"/>
  </cols>
  <sheetData>
    <row r="1" spans="1:4" x14ac:dyDescent="0.25">
      <c r="A1" t="s">
        <v>179</v>
      </c>
      <c r="B1" t="s">
        <v>189</v>
      </c>
      <c r="C1" t="s">
        <v>187</v>
      </c>
      <c r="D1" t="s">
        <v>188</v>
      </c>
    </row>
    <row r="2" spans="1:4" x14ac:dyDescent="0.25">
      <c r="A2" t="s">
        <v>182</v>
      </c>
      <c r="B2" t="e" vm="185">
        <v>#VALUE!</v>
      </c>
      <c r="C2" s="1" cm="1">
        <f t="array" aca="1" ref="C2" ca="1">_FV(B2,"Price")</f>
        <v>39.71</v>
      </c>
      <c r="D2" s="2" cm="1">
        <f t="array" aca="1" ref="D2" ca="1">_FV(B2,"Change (%)",TRUE)</f>
        <v>1.4173999999999999E-2</v>
      </c>
    </row>
    <row r="3" spans="1:4" x14ac:dyDescent="0.25">
      <c r="A3" t="s">
        <v>181</v>
      </c>
      <c r="B3" t="e" vm="186">
        <v>#VALUE!</v>
      </c>
      <c r="C3" s="1" cm="1">
        <f t="array" aca="1" ref="C3" ca="1">_FV(B3,"Price")</f>
        <v>18.21</v>
      </c>
      <c r="D3" s="2" cm="1">
        <f t="array" aca="1" ref="D3" ca="1">_FV(B3,"Change (%)",TRUE)</f>
        <v>1.0544E-2</v>
      </c>
    </row>
    <row r="4" spans="1:4" x14ac:dyDescent="0.25">
      <c r="A4" t="s">
        <v>180</v>
      </c>
      <c r="B4" t="e" vm="187">
        <v>#VALUE!</v>
      </c>
      <c r="C4" s="1" cm="1">
        <f t="array" aca="1" ref="C4" ca="1">_FV(B4,"Price")</f>
        <v>17.489999999999998</v>
      </c>
      <c r="D4" s="2" cm="1">
        <f t="array" aca="1" ref="D4" ca="1">_FV(B4,"Change (%)",TRUE)</f>
        <v>1.0983E-2</v>
      </c>
    </row>
  </sheetData>
  <autoFilter ref="A1:D1" xr:uid="{2902132B-C28D-4BE0-8904-9CF58091B792}">
    <sortState xmlns:xlrd2="http://schemas.microsoft.com/office/spreadsheetml/2017/richdata2" ref="A2:D4">
      <sortCondition descending="1" ref="D1"/>
    </sortState>
  </autoFilter>
  <conditionalFormatting sqref="D2:D4">
    <cfRule type="cellIs" dxfId="7" priority="1" operator="greaterThan">
      <formula>0</formula>
    </cfRule>
    <cfRule type="cellIs" dxfId="6" priority="2" operator="lessThan">
      <formula>0</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47231-0089-4537-A6B1-90B0BA9AD557}">
  <dimension ref="A1:D9"/>
  <sheetViews>
    <sheetView workbookViewId="0">
      <selection sqref="A1:XFD1"/>
    </sheetView>
  </sheetViews>
  <sheetFormatPr defaultRowHeight="15" x14ac:dyDescent="0.25"/>
  <cols>
    <col min="1" max="1" width="6.28515625" bestFit="1" customWidth="1"/>
    <col min="2" max="2" width="37.5703125" bestFit="1" customWidth="1"/>
    <col min="3" max="3" width="9" bestFit="1" customWidth="1"/>
    <col min="4" max="4" width="7.5703125" bestFit="1" customWidth="1"/>
  </cols>
  <sheetData>
    <row r="1" spans="1:4" x14ac:dyDescent="0.25">
      <c r="A1" t="s">
        <v>179</v>
      </c>
      <c r="B1" t="s">
        <v>189</v>
      </c>
      <c r="C1" t="s">
        <v>187</v>
      </c>
      <c r="D1" t="s">
        <v>188</v>
      </c>
    </row>
    <row r="2" spans="1:4" x14ac:dyDescent="0.25">
      <c r="A2" t="s">
        <v>196</v>
      </c>
      <c r="B2" t="e" vm="188">
        <v>#VALUE!</v>
      </c>
      <c r="C2" s="1" cm="1">
        <f t="array" aca="1" ref="C2" ca="1">_FV(B2,"Price")</f>
        <v>31.62</v>
      </c>
      <c r="D2" s="2" cm="1">
        <f t="array" aca="1" ref="D2" ca="1">_FV(B2,"Change (%)",TRUE)</f>
        <v>-1.5260000000000001E-2</v>
      </c>
    </row>
    <row r="3" spans="1:4" x14ac:dyDescent="0.25">
      <c r="A3" t="s">
        <v>88</v>
      </c>
      <c r="B3" t="e" vm="110">
        <v>#VALUE!</v>
      </c>
      <c r="C3" s="1" cm="1">
        <f t="array" aca="1" ref="C3" ca="1">_FV(B3,"Price")</f>
        <v>51.75</v>
      </c>
      <c r="D3" s="2" cm="1">
        <f t="array" aca="1" ref="D3" ca="1">_FV(B3,"Change (%)",TRUE)</f>
        <v>-1.0893999999999999E-2</v>
      </c>
    </row>
    <row r="4" spans="1:4" x14ac:dyDescent="0.25">
      <c r="A4" t="s">
        <v>91</v>
      </c>
      <c r="B4" t="e" vm="109">
        <v>#VALUE!</v>
      </c>
      <c r="C4" s="1" cm="1">
        <f t="array" aca="1" ref="C4" ca="1">_FV(B4,"Price")</f>
        <v>127.12569999999999</v>
      </c>
      <c r="D4" s="2" cm="1">
        <f t="array" aca="1" ref="D4" ca="1">_FV(B4,"Change (%)",TRUE)</f>
        <v>-1.8327E-2</v>
      </c>
    </row>
    <row r="5" spans="1:4" x14ac:dyDescent="0.25">
      <c r="A5" t="s">
        <v>98</v>
      </c>
      <c r="B5" t="e" vm="114">
        <v>#VALUE!</v>
      </c>
      <c r="C5" s="1" cm="1">
        <f t="array" aca="1" ref="C5" ca="1">_FV(B5,"Price")</f>
        <v>29.94</v>
      </c>
      <c r="D5" s="2" cm="1">
        <f t="array" aca="1" ref="D5" ca="1">_FV(B5,"Change (%)",TRUE)</f>
        <v>-6.9649999999999998E-3</v>
      </c>
    </row>
    <row r="6" spans="1:4" x14ac:dyDescent="0.25">
      <c r="A6" t="s">
        <v>89</v>
      </c>
      <c r="B6" t="e" vm="111">
        <v>#VALUE!</v>
      </c>
      <c r="C6" s="1" cm="1">
        <f t="array" aca="1" ref="C6" ca="1">_FV(B6,"Price")</f>
        <v>59.997</v>
      </c>
      <c r="D6" s="2" cm="1">
        <f t="array" aca="1" ref="D6" ca="1">_FV(B6,"Change (%)",TRUE)</f>
        <v>-3.7099999999999998E-3</v>
      </c>
    </row>
    <row r="7" spans="1:4" x14ac:dyDescent="0.25">
      <c r="A7" t="s">
        <v>197</v>
      </c>
      <c r="B7" t="e" vm="189">
        <v>#VALUE!</v>
      </c>
      <c r="C7" s="1" cm="1">
        <f t="array" aca="1" ref="C7" ca="1">_FV(B7,"Price")</f>
        <v>236.92</v>
      </c>
      <c r="D7" s="2" cm="1">
        <f t="array" aca="1" ref="D7" ca="1">_FV(B7,"Change (%)",TRUE)</f>
        <v>-3.5330000000000001E-3</v>
      </c>
    </row>
    <row r="8" spans="1:4" x14ac:dyDescent="0.25">
      <c r="A8" t="s">
        <v>198</v>
      </c>
      <c r="B8" t="e" vm="190">
        <v>#VALUE!</v>
      </c>
      <c r="C8" s="1" cm="1">
        <f t="array" aca="1" ref="C8" ca="1">_FV(B8,"Price")</f>
        <v>44.35</v>
      </c>
      <c r="D8" s="2" cm="1">
        <f t="array" aca="1" ref="D8" ca="1">_FV(B8,"Change (%)",TRUE)</f>
        <v>9.0269999999999999E-4</v>
      </c>
    </row>
    <row r="9" spans="1:4" x14ac:dyDescent="0.25">
      <c r="A9" t="s">
        <v>90</v>
      </c>
      <c r="B9" t="e" vm="112">
        <v>#VALUE!</v>
      </c>
      <c r="C9" s="1" cm="1">
        <f t="array" aca="1" ref="C9" ca="1">_FV(B9,"Price")</f>
        <v>68.412099999999995</v>
      </c>
      <c r="D9" s="2" cm="1">
        <f t="array" aca="1" ref="D9" ca="1">_FV(B9,"Change (%)",TRUE)</f>
        <v>-9.2500000000000013E-3</v>
      </c>
    </row>
  </sheetData>
  <autoFilter ref="A1:D1" xr:uid="{97547231-0089-4537-A6B1-90B0BA9AD557}">
    <sortState xmlns:xlrd2="http://schemas.microsoft.com/office/spreadsheetml/2017/richdata2" ref="A2:D9">
      <sortCondition descending="1" ref="D1"/>
    </sortState>
  </autoFilter>
  <conditionalFormatting sqref="D2:D9">
    <cfRule type="cellIs" dxfId="5" priority="1" operator="greaterThan">
      <formula>0</formula>
    </cfRule>
    <cfRule type="cellIs" dxfId="4" priority="2" operator="less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CB093-B994-4B17-AFD5-D9816674927D}">
  <dimension ref="A1:D5"/>
  <sheetViews>
    <sheetView workbookViewId="0"/>
  </sheetViews>
  <sheetFormatPr defaultRowHeight="15" x14ac:dyDescent="0.25"/>
  <cols>
    <col min="2" max="2" width="37.5703125" bestFit="1" customWidth="1"/>
  </cols>
  <sheetData>
    <row r="1" spans="1:4" x14ac:dyDescent="0.25">
      <c r="A1" t="s">
        <v>179</v>
      </c>
      <c r="B1" t="s">
        <v>189</v>
      </c>
      <c r="C1" t="s">
        <v>187</v>
      </c>
      <c r="D1" t="s">
        <v>188</v>
      </c>
    </row>
    <row r="2" spans="1:4" x14ac:dyDescent="0.25">
      <c r="A2" t="s">
        <v>186</v>
      </c>
      <c r="B2" t="e" vm="191">
        <v>#VALUE!</v>
      </c>
      <c r="C2" s="1" cm="1">
        <f t="array" aca="1" ref="C2" ca="1">_FV(B2,"Price")</f>
        <v>26.6</v>
      </c>
      <c r="D2" s="2" cm="1">
        <f t="array" aca="1" ref="D2" ca="1">_FV(B2,"Change (%)",TRUE)</f>
        <v>-9.3109999999999998E-3</v>
      </c>
    </row>
    <row r="3" spans="1:4" x14ac:dyDescent="0.25">
      <c r="A3" t="s">
        <v>183</v>
      </c>
      <c r="B3" t="e" vm="192">
        <v>#VALUE!</v>
      </c>
      <c r="C3" s="1" cm="1">
        <f t="array" aca="1" ref="C3" ca="1">_FV(B3,"Price")</f>
        <v>25.395</v>
      </c>
      <c r="D3" s="2" cm="1">
        <f t="array" aca="1" ref="D3" ca="1">_FV(B3,"Change (%)",TRUE)</f>
        <v>1.3772E-2</v>
      </c>
    </row>
    <row r="4" spans="1:4" x14ac:dyDescent="0.25">
      <c r="A4" t="s">
        <v>185</v>
      </c>
      <c r="B4" t="e" vm="193">
        <v>#VALUE!</v>
      </c>
      <c r="C4" s="1" cm="1">
        <f t="array" aca="1" ref="C4" ca="1">_FV(B4,"Price")</f>
        <v>39.83</v>
      </c>
      <c r="D4" s="2" cm="1">
        <f t="array" aca="1" ref="D4" ca="1">_FV(B4,"Change (%)",TRUE)</f>
        <v>2.4698000000000001E-2</v>
      </c>
    </row>
    <row r="5" spans="1:4" x14ac:dyDescent="0.25">
      <c r="A5" t="s">
        <v>184</v>
      </c>
      <c r="B5" t="e" vm="194">
        <v>#VALUE!</v>
      </c>
      <c r="C5" s="1" cm="1">
        <f t="array" aca="1" ref="C5" ca="1">_FV(B5,"Price")</f>
        <v>43.39</v>
      </c>
      <c r="D5" s="2" cm="1">
        <f t="array" aca="1" ref="D5" ca="1">_FV(B5,"Change (%)",TRUE)</f>
        <v>1.0714999999999999E-2</v>
      </c>
    </row>
  </sheetData>
  <autoFilter ref="A1:D1" xr:uid="{982CB093-B994-4B17-AFD5-D9816674927D}">
    <sortState xmlns:xlrd2="http://schemas.microsoft.com/office/spreadsheetml/2017/richdata2" ref="A2:D5">
      <sortCondition descending="1" ref="D1"/>
    </sortState>
  </autoFilter>
  <conditionalFormatting sqref="D2:D5">
    <cfRule type="cellIs" dxfId="3" priority="1" operator="greaterThan">
      <formula>0</formula>
    </cfRule>
    <cfRule type="cellIs" dxfId="2" priority="2" operator="lessThan">
      <formula>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5923E-03B3-4858-B3E1-664DA95F842D}">
  <dimension ref="A1:E12"/>
  <sheetViews>
    <sheetView workbookViewId="0">
      <selection sqref="A1:XFD1"/>
    </sheetView>
  </sheetViews>
  <sheetFormatPr defaultRowHeight="15" x14ac:dyDescent="0.25"/>
  <cols>
    <col min="2" max="2" width="35.140625" bestFit="1" customWidth="1"/>
  </cols>
  <sheetData>
    <row r="1" spans="1:5" x14ac:dyDescent="0.25">
      <c r="A1" t="s">
        <v>0</v>
      </c>
      <c r="B1" t="s">
        <v>189</v>
      </c>
      <c r="C1" t="s">
        <v>187</v>
      </c>
      <c r="D1" t="s">
        <v>188</v>
      </c>
    </row>
    <row r="2" spans="1:5" x14ac:dyDescent="0.25">
      <c r="A2" t="s">
        <v>167</v>
      </c>
      <c r="B2" t="e" vm="195">
        <v>#VALUE!</v>
      </c>
      <c r="C2" s="1" cm="1">
        <f t="array" aca="1" ref="C2" ca="1">_FV(B2,"Price")</f>
        <v>74.09</v>
      </c>
      <c r="D2" s="2" cm="1">
        <f t="array" aca="1" ref="D2" ca="1">_FV(B2,"Change (%)",TRUE)</f>
        <v>-1.2381999999999999E-2</v>
      </c>
      <c r="E2" s="3"/>
    </row>
    <row r="3" spans="1:5" x14ac:dyDescent="0.25">
      <c r="A3" t="s">
        <v>172</v>
      </c>
      <c r="B3" t="e" vm="196">
        <v>#VALUE!</v>
      </c>
      <c r="C3" s="1" cm="1">
        <f t="array" aca="1" ref="C3" ca="1">_FV(B3,"Price")</f>
        <v>83.320099999999996</v>
      </c>
      <c r="D3" s="2" cm="1">
        <f t="array" aca="1" ref="D3" ca="1">_FV(B3,"Change (%)",TRUE)</f>
        <v>4.1089999999999998E-3</v>
      </c>
    </row>
    <row r="4" spans="1:5" x14ac:dyDescent="0.25">
      <c r="A4" t="s">
        <v>173</v>
      </c>
      <c r="B4" t="e" vm="197">
        <v>#VALUE!</v>
      </c>
      <c r="C4" s="1" cm="1">
        <f t="array" aca="1" ref="C4" ca="1">_FV(B4,"Price")</f>
        <v>37.694899999999997</v>
      </c>
      <c r="D4" s="2" cm="1">
        <f t="array" aca="1" ref="D4" ca="1">_FV(B4,"Change (%)",TRUE)</f>
        <v>2.1505999999999997E-2</v>
      </c>
    </row>
    <row r="5" spans="1:5" x14ac:dyDescent="0.25">
      <c r="A5" t="s">
        <v>170</v>
      </c>
      <c r="B5" t="e" vm="198">
        <v>#VALUE!</v>
      </c>
      <c r="C5" s="1" cm="1">
        <f t="array" aca="1" ref="C5" ca="1">_FV(B5,"Price")</f>
        <v>59.69</v>
      </c>
      <c r="D5" s="2" cm="1">
        <f t="array" aca="1" ref="D5" ca="1">_FV(B5,"Change (%)",TRUE)</f>
        <v>-3.5060000000000004E-3</v>
      </c>
    </row>
    <row r="6" spans="1:5" x14ac:dyDescent="0.25">
      <c r="A6" t="s">
        <v>174</v>
      </c>
      <c r="B6" t="e" vm="199">
        <v>#VALUE!</v>
      </c>
      <c r="C6" s="1" cm="1">
        <f t="array" aca="1" ref="C6" ca="1">_FV(B6,"Price")</f>
        <v>36.58</v>
      </c>
      <c r="D6" s="2" cm="1">
        <f t="array" aca="1" ref="D6" ca="1">_FV(B6,"Change (%)",TRUE)</f>
        <v>1.3857999999999999E-2</v>
      </c>
    </row>
    <row r="7" spans="1:5" x14ac:dyDescent="0.25">
      <c r="A7" t="s">
        <v>176</v>
      </c>
      <c r="B7" t="e" vm="200">
        <v>#VALUE!</v>
      </c>
      <c r="C7" s="1" cm="1">
        <f t="array" aca="1" ref="C7" ca="1">_FV(B7,"Price")</f>
        <v>30.35</v>
      </c>
      <c r="D7" s="2" cm="1">
        <f t="array" aca="1" ref="D7" ca="1">_FV(B7,"Change (%)",TRUE)</f>
        <v>9.6469999999999993E-3</v>
      </c>
    </row>
    <row r="8" spans="1:5" x14ac:dyDescent="0.25">
      <c r="A8" t="s">
        <v>168</v>
      </c>
      <c r="B8" t="e" vm="201">
        <v>#VALUE!</v>
      </c>
      <c r="C8" s="1" cm="1">
        <f t="array" aca="1" ref="C8" ca="1">_FV(B8,"Price")</f>
        <v>114.715</v>
      </c>
      <c r="D8" s="2" cm="1">
        <f t="array" aca="1" ref="D8" ca="1">_FV(B8,"Change (%)",TRUE)</f>
        <v>-1.1417999999999999E-2</v>
      </c>
    </row>
    <row r="9" spans="1:5" x14ac:dyDescent="0.25">
      <c r="A9" t="s">
        <v>177</v>
      </c>
      <c r="B9" t="e" vm="202">
        <v>#VALUE!</v>
      </c>
      <c r="C9" s="1" cm="1">
        <f t="array" aca="1" ref="C9" ca="1">_FV(B9,"Price")</f>
        <v>35.179200000000002</v>
      </c>
      <c r="D9" s="2" cm="1">
        <f t="array" aca="1" ref="D9" ca="1">_FV(B9,"Change (%)",TRUE)</f>
        <v>-1.586E-3</v>
      </c>
    </row>
    <row r="10" spans="1:5" x14ac:dyDescent="0.25">
      <c r="A10" t="s">
        <v>175</v>
      </c>
      <c r="B10" t="e" vm="203">
        <v>#VALUE!</v>
      </c>
      <c r="C10" s="1" cm="1">
        <f t="array" aca="1" ref="C10" ca="1">_FV(B10,"Price")</f>
        <v>54.22</v>
      </c>
      <c r="D10" s="2" cm="1">
        <f t="array" aca="1" ref="D10" ca="1">_FV(B10,"Change (%)",TRUE)</f>
        <v>8.3689999999999997E-3</v>
      </c>
    </row>
    <row r="11" spans="1:5" x14ac:dyDescent="0.25">
      <c r="A11" t="s">
        <v>171</v>
      </c>
      <c r="B11" t="e" vm="204">
        <v>#VALUE!</v>
      </c>
      <c r="C11" s="1" cm="1">
        <f t="array" aca="1" ref="C11" ca="1">_FV(B11,"Price")</f>
        <v>63.91</v>
      </c>
      <c r="D11" s="2" cm="1">
        <f t="array" aca="1" ref="D11" ca="1">_FV(B11,"Change (%)",TRUE)</f>
        <v>-1.3278000000000002E-2</v>
      </c>
    </row>
    <row r="12" spans="1:5" x14ac:dyDescent="0.25">
      <c r="A12" t="s">
        <v>169</v>
      </c>
      <c r="B12" t="e" vm="205">
        <v>#VALUE!</v>
      </c>
      <c r="C12" s="1" cm="1">
        <f t="array" aca="1" ref="C12" ca="1">_FV(B12,"Price")</f>
        <v>38.82</v>
      </c>
      <c r="D12" s="2" cm="1">
        <f t="array" aca="1" ref="D12" ca="1">_FV(B12,"Change (%)",TRUE)</f>
        <v>-8.6820000000000005E-3</v>
      </c>
    </row>
  </sheetData>
  <autoFilter ref="A1:E1" xr:uid="{59B5923E-03B3-4858-B3E1-664DA95F842D}">
    <sortState xmlns:xlrd2="http://schemas.microsoft.com/office/spreadsheetml/2017/richdata2" ref="A2:E12">
      <sortCondition ref="D1"/>
    </sortState>
  </autoFilter>
  <conditionalFormatting sqref="D2:D12">
    <cfRule type="cellIs" dxfId="1" priority="1" operator="greaterThan">
      <formula>0</formula>
    </cfRule>
    <cfRule type="cellIs" dxfId="0" priority="2" operator="less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MainMetrics</vt:lpstr>
      <vt:lpstr>indexes</vt:lpstr>
      <vt:lpstr>spSectors</vt:lpstr>
      <vt:lpstr>AI_trade</vt:lpstr>
      <vt:lpstr>industries</vt:lpstr>
      <vt:lpstr>spFactors</vt:lpstr>
      <vt:lpstr>magnificent7</vt:lpstr>
      <vt:lpstr>sizeVsValue</vt:lpstr>
      <vt:lpstr>awesomePortfolio</vt:lpstr>
      <vt:lpstr>qualitative</vt:lpstr>
      <vt:lpstr>fixedIncome</vt:lpstr>
      <vt:lpstr>commodities</vt:lpstr>
      <vt:lpstr>globalMarkets</vt:lpstr>
      <vt:lpstr>currencies</vt:lpstr>
      <vt:lpstr>crypto</vt:lpstr>
      <vt:lpstr>otherEtf</vt:lpstr>
      <vt:lpstr>hedgeProtectionTrades</vt:lpstr>
      <vt:lpstr>Alternatives</vt:lpstr>
      <vt:lpstr>doomsdayTrades</vt:lpstr>
      <vt:lpstr>equalWeightedSectors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Jeronimo De Abreu</dc:creator>
  <cp:lastModifiedBy>Jeronimo De Abreu</cp:lastModifiedBy>
  <dcterms:created xsi:type="dcterms:W3CDTF">2024-07-04T17:58:58Z</dcterms:created>
  <dcterms:modified xsi:type="dcterms:W3CDTF">2026-09-14T23:59:46Z</dcterms:modified>
</cp:coreProperties>
</file>