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richData/rdrichvalue.xml" ContentType="application/vnd.ms-excel.rdrichvalue+xml"/>
  <Override PartName="/xl/richData/rdrichvaluestructure.xml" ContentType="application/vnd.ms-excel.rdrichvaluestructure+xml"/>
  <Override PartName="/xl/richData/richStyles.xml" ContentType="application/vnd.ms-excel.richstyles+xml"/>
  <Override PartName="/xl/richData/rdsupportingpropertybagstructure.xml" ContentType="application/vnd.ms-excel.rdsupportingpropertybagstructure+xml"/>
  <Override PartName="/xl/richData/rdsupportingpropertybag.xml" ContentType="application/vnd.ms-excel.rdsupportingpropertybag+xml"/>
  <Override PartName="/xl/richData/rdRichValueTypes.xml" ContentType="application/vnd.ms-excel.rdrichvaluetype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131"/>
  <workbookPr defaultThemeVersion="202300"/>
  <mc:AlternateContent xmlns:mc="http://schemas.openxmlformats.org/markup-compatibility/2006">
    <mc:Choice Requires="x15">
      <x15ac:absPath xmlns:x15ac="http://schemas.microsoft.com/office/spreadsheetml/2010/11/ac" url="\\wsl.localhost\Ubuntu\home\jeron\project\jtrade\tktList\"/>
    </mc:Choice>
  </mc:AlternateContent>
  <xr:revisionPtr revIDLastSave="0" documentId="13_ncr:1_{9378682A-3FE1-4DC1-8555-FB06964EA93F}" xr6:coauthVersionLast="47" xr6:coauthVersionMax="47" xr10:uidLastSave="{00000000-0000-0000-0000-000000000000}"/>
  <bookViews>
    <workbookView xWindow="-120" yWindow="-120" windowWidth="29040" windowHeight="15720" tabRatio="944" activeTab="6" xr2:uid="{C2CBD369-E3C3-4850-AF40-1C6F4310D1D9}"/>
  </bookViews>
  <sheets>
    <sheet name="MainMetrics" sheetId="18" r:id="rId1"/>
    <sheet name="indexes" sheetId="1" r:id="rId2"/>
    <sheet name="spSectors" sheetId="2" r:id="rId3"/>
    <sheet name="AI_trade" sheetId="20" r:id="rId4"/>
    <sheet name="industries" sheetId="3" r:id="rId5"/>
    <sheet name="spFactors" sheetId="4" r:id="rId6"/>
    <sheet name="magnificent7" sheetId="5" r:id="rId7"/>
    <sheet name="sizeVsValue" sheetId="6" r:id="rId8"/>
    <sheet name="awesomePortfolio" sheetId="7" r:id="rId9"/>
    <sheet name="qualitative" sheetId="8" r:id="rId10"/>
    <sheet name="fixedIncome" sheetId="9" r:id="rId11"/>
    <sheet name="commodities" sheetId="10" r:id="rId12"/>
    <sheet name="globalMarkets" sheetId="11" r:id="rId13"/>
    <sheet name="currencies" sheetId="12" r:id="rId14"/>
    <sheet name="crypto" sheetId="13" r:id="rId15"/>
    <sheet name="otherEtf" sheetId="14" r:id="rId16"/>
    <sheet name="hedgeProtectionTrades" sheetId="16" r:id="rId17"/>
    <sheet name="Alternatives" sheetId="19" r:id="rId18"/>
    <sheet name="doomsdayTrades" sheetId="17" r:id="rId19"/>
    <sheet name="equalWeightedSectors" sheetId="15" r:id="rId20"/>
  </sheets>
  <definedNames>
    <definedName name="_xlnm._FilterDatabase" localSheetId="17" hidden="1">Alternatives!$A$1:$D$1</definedName>
    <definedName name="_xlnm._FilterDatabase" localSheetId="8" hidden="1">awesomePortfolio!$A$1:$D$1</definedName>
    <definedName name="_xlnm._FilterDatabase" localSheetId="11" hidden="1">commodities!$A$1:$D$1</definedName>
    <definedName name="_xlnm._FilterDatabase" localSheetId="14" hidden="1">crypto!$A$1:$D$1</definedName>
    <definedName name="_xlnm._FilterDatabase" localSheetId="13" hidden="1">currencies!$A$1:$D$1</definedName>
    <definedName name="_xlnm._FilterDatabase" localSheetId="18" hidden="1">doomsdayTrades!$A$1:$D$1</definedName>
    <definedName name="_xlnm._FilterDatabase" localSheetId="19" hidden="1">equalWeightedSectors!$A$1:$E$1</definedName>
    <definedName name="_xlnm._FilterDatabase" localSheetId="10" hidden="1">fixedIncome!$A$1:$D$1</definedName>
    <definedName name="_xlnm._FilterDatabase" localSheetId="12" hidden="1">globalMarkets!$A$1:$D$1</definedName>
    <definedName name="_xlnm._FilterDatabase" localSheetId="16" hidden="1">hedgeProtectionTrades!$A$1:$D$1</definedName>
    <definedName name="_xlnm._FilterDatabase" localSheetId="1" hidden="1">indexes!$A$1:$D$1</definedName>
    <definedName name="_xlnm._FilterDatabase" localSheetId="4" hidden="1">industries!$A$1:$D$1</definedName>
    <definedName name="_xlnm._FilterDatabase" localSheetId="6" hidden="1">magnificent7!$A$1:$D$1</definedName>
    <definedName name="_xlnm._FilterDatabase" localSheetId="15" hidden="1">otherEtf!$A$1:$D$1</definedName>
    <definedName name="_xlnm._FilterDatabase" localSheetId="9" hidden="1">qualitative!$A$1:$D$1</definedName>
    <definedName name="_xlnm._FilterDatabase" localSheetId="7" hidden="1">sizeVsValue!$A$1:$D$1</definedName>
    <definedName name="_xlnm._FilterDatabase" localSheetId="5" hidden="1">spFactors!$A$1:$D$1</definedName>
    <definedName name="_xlnm._FilterDatabase" localSheetId="2" hidden="1">spSectors!$A$1:$D$1</definedName>
  </definedName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D4" i="20" l="1" a="1"/>
  <c r="C4" i="20" a="1"/>
  <c r="D3" i="20" a="1"/>
  <c r="C3" i="20" a="1"/>
  <c r="D2" i="20" a="1"/>
  <c r="C2" i="20" a="1"/>
  <c r="D6" i="3" a="1"/>
  <c r="C6" i="3" a="1"/>
  <c r="D8" i="3" a="1"/>
  <c r="C8" i="3" a="1"/>
  <c r="C2" i="19" a="1"/>
  <c r="D5" i="19" a="1"/>
  <c r="C5" i="19" a="1"/>
  <c r="D9" i="19" a="1"/>
  <c r="C9" i="19" a="1"/>
  <c r="D8" i="19" a="1"/>
  <c r="C8" i="19" a="1"/>
  <c r="D6" i="19" a="1"/>
  <c r="C6" i="19" a="1"/>
  <c r="D7" i="19" a="1"/>
  <c r="C7" i="19" a="1"/>
  <c r="D4" i="19" a="1"/>
  <c r="C4" i="19" a="1"/>
  <c r="D3" i="19" a="1"/>
  <c r="C3" i="19" a="1"/>
  <c r="D2" i="19" a="1"/>
  <c r="C15" i="18" a="1"/>
  <c r="D15" i="18" a="1"/>
  <c r="D14" i="18" a="1"/>
  <c r="C14" i="18" a="1"/>
  <c r="C3" i="18" a="1"/>
  <c r="D3" i="18" a="1"/>
  <c r="C4" i="18" a="1"/>
  <c r="D4" i="18" a="1"/>
  <c r="C5" i="18" a="1"/>
  <c r="D5" i="18" a="1"/>
  <c r="C6" i="18" a="1"/>
  <c r="D6" i="18" a="1"/>
  <c r="C7" i="18" a="1"/>
  <c r="D7" i="18" a="1"/>
  <c r="C8" i="18" a="1"/>
  <c r="D8" i="18" a="1"/>
  <c r="C9" i="18" a="1"/>
  <c r="D9" i="18" a="1"/>
  <c r="C10" i="18" a="1"/>
  <c r="D10" i="18" a="1"/>
  <c r="C11" i="18" a="1"/>
  <c r="D11" i="18" a="1"/>
  <c r="C12" i="18" a="1"/>
  <c r="D12" i="18" a="1"/>
  <c r="C13" i="18" a="1"/>
  <c r="D13" i="18" a="1"/>
  <c r="D2" i="18" a="1"/>
  <c r="C2" i="18" a="1"/>
  <c r="C8" i="15" a="1"/>
  <c r="D8" i="15" a="1"/>
  <c r="C12" i="15" a="1"/>
  <c r="D12" i="15" a="1"/>
  <c r="C5" i="15" a="1"/>
  <c r="D5" i="15" a="1"/>
  <c r="C11" i="15" a="1"/>
  <c r="D11" i="15" a="1"/>
  <c r="C3" i="15" a="1"/>
  <c r="D3" i="15" a="1"/>
  <c r="C4" i="15" a="1"/>
  <c r="D4" i="15" a="1"/>
  <c r="C6" i="15" a="1"/>
  <c r="D6" i="15" a="1"/>
  <c r="C10" i="15" a="1"/>
  <c r="D10" i="15" a="1"/>
  <c r="C7" i="15" a="1"/>
  <c r="D7" i="15" a="1"/>
  <c r="C9" i="15" a="1"/>
  <c r="D9" i="15" a="1"/>
  <c r="D2" i="15" a="1"/>
  <c r="C2" i="15" a="1"/>
  <c r="C5" i="17" a="1"/>
  <c r="D5" i="17" a="1"/>
  <c r="C4" i="17" a="1"/>
  <c r="D4" i="17" a="1"/>
  <c r="C2" i="17" a="1"/>
  <c r="D2" i="17" a="1"/>
  <c r="D3" i="17" a="1"/>
  <c r="C3" i="17" a="1"/>
  <c r="C3" i="16" a="1"/>
  <c r="D3" i="16" a="1"/>
  <c r="C2" i="16" a="1"/>
  <c r="D2" i="16" a="1"/>
  <c r="D4" i="16" a="1"/>
  <c r="C4" i="16" a="1"/>
  <c r="C2" i="14" a="1"/>
  <c r="D2" i="14" a="1"/>
  <c r="D3" i="14" a="1"/>
  <c r="C3" i="14" a="1"/>
  <c r="C4" i="13" a="1"/>
  <c r="D4" i="13" a="1"/>
  <c r="C2" i="13" a="1"/>
  <c r="D2" i="13" a="1"/>
  <c r="D3" i="13" a="1"/>
  <c r="C3" i="13" a="1"/>
  <c r="C8" i="12" a="1"/>
  <c r="D8" i="12" a="1"/>
  <c r="C2" i="12" a="1"/>
  <c r="D2" i="12" a="1"/>
  <c r="C5" i="12" a="1"/>
  <c r="D5" i="12" a="1"/>
  <c r="C7" i="12" a="1"/>
  <c r="D7" i="12" a="1"/>
  <c r="C3" i="12" a="1"/>
  <c r="D3" i="12" a="1"/>
  <c r="C6" i="12" a="1"/>
  <c r="D6" i="12" a="1"/>
  <c r="C9" i="12" a="1"/>
  <c r="D9" i="12" a="1"/>
  <c r="D4" i="12" a="1"/>
  <c r="C4" i="12" a="1"/>
  <c r="C23" i="11" a="1"/>
  <c r="D23" i="11" a="1"/>
  <c r="C9" i="11" a="1"/>
  <c r="D9" i="11" a="1"/>
  <c r="C20" i="11" a="1"/>
  <c r="D20" i="11" a="1"/>
  <c r="C28" i="11" a="1"/>
  <c r="D28" i="11" a="1"/>
  <c r="C5" i="11" a="1"/>
  <c r="D5" i="11" a="1"/>
  <c r="C22" i="11" a="1"/>
  <c r="D22" i="11" a="1"/>
  <c r="C14" i="11" a="1"/>
  <c r="D14" i="11" a="1"/>
  <c r="C19" i="11" a="1"/>
  <c r="D19" i="11" a="1"/>
  <c r="C7" i="11" a="1"/>
  <c r="D7" i="11" a="1"/>
  <c r="C24" i="11" a="1"/>
  <c r="D24" i="11" a="1"/>
  <c r="C15" i="11" a="1"/>
  <c r="D15" i="11" a="1"/>
  <c r="C27" i="11" a="1"/>
  <c r="D27" i="11" a="1"/>
  <c r="C4" i="11" a="1"/>
  <c r="D4" i="11" a="1"/>
  <c r="C18" i="11" a="1"/>
  <c r="D18" i="11" a="1"/>
  <c r="C21" i="11" a="1"/>
  <c r="D21" i="11" a="1"/>
  <c r="C2" i="11" a="1"/>
  <c r="D2" i="11" a="1"/>
  <c r="C26" i="11" a="1"/>
  <c r="D26" i="11" a="1"/>
  <c r="C25" i="11" a="1"/>
  <c r="D25" i="11" a="1"/>
  <c r="C3" i="11" a="1"/>
  <c r="D3" i="11" a="1"/>
  <c r="C8" i="11" a="1"/>
  <c r="D8" i="11" a="1"/>
  <c r="C13" i="11" a="1"/>
  <c r="D13" i="11" a="1"/>
  <c r="C17" i="11" a="1"/>
  <c r="D17" i="11" a="1"/>
  <c r="C16" i="11" a="1"/>
  <c r="D16" i="11" a="1"/>
  <c r="C12" i="11" a="1"/>
  <c r="D12" i="11" a="1"/>
  <c r="C11" i="11" a="1"/>
  <c r="D11" i="11" a="1"/>
  <c r="C10" i="11" a="1"/>
  <c r="D10" i="11" a="1"/>
  <c r="C29" i="11" a="1"/>
  <c r="D29" i="11" a="1"/>
  <c r="D6" i="11" a="1"/>
  <c r="C6" i="11" a="1"/>
  <c r="C5" i="10" a="1"/>
  <c r="D5" i="10" a="1"/>
  <c r="C3" i="10" a="1"/>
  <c r="D3" i="10" a="1"/>
  <c r="C6" i="10" a="1"/>
  <c r="D6" i="10" a="1"/>
  <c r="C14" i="10" a="1"/>
  <c r="D14" i="10" a="1"/>
  <c r="C2" i="10" a="1"/>
  <c r="D2" i="10" a="1"/>
  <c r="C7" i="10" a="1"/>
  <c r="D7" i="10" a="1"/>
  <c r="C12" i="10" a="1"/>
  <c r="D12" i="10" a="1"/>
  <c r="C4" i="10" a="1"/>
  <c r="D4" i="10" a="1"/>
  <c r="C8" i="10" a="1"/>
  <c r="D8" i="10" a="1"/>
  <c r="C16" i="10" a="1"/>
  <c r="D16" i="10" a="1"/>
  <c r="C10" i="10" a="1"/>
  <c r="D10" i="10" a="1"/>
  <c r="C9" i="10" a="1"/>
  <c r="D9" i="10" a="1"/>
  <c r="C18" i="10" a="1"/>
  <c r="D18" i="10" a="1"/>
  <c r="C11" i="10" a="1"/>
  <c r="D11" i="10" a="1"/>
  <c r="C17" i="10" a="1"/>
  <c r="D17" i="10" a="1"/>
  <c r="C20" i="10" a="1"/>
  <c r="D20" i="10" a="1"/>
  <c r="C15" i="10" a="1"/>
  <c r="D15" i="10" a="1"/>
  <c r="C21" i="10" a="1"/>
  <c r="D21" i="10" a="1"/>
  <c r="C22" i="10" a="1"/>
  <c r="D22" i="10" a="1"/>
  <c r="C19" i="10" a="1"/>
  <c r="D19" i="10" a="1"/>
  <c r="C13" i="10" a="1"/>
  <c r="D13" i="10" a="1"/>
  <c r="D23" i="10" a="1"/>
  <c r="C23" i="10" a="1"/>
  <c r="C12" i="9" a="1"/>
  <c r="D12" i="9" a="1"/>
  <c r="C8" i="9" a="1"/>
  <c r="D8" i="9" a="1"/>
  <c r="C16" i="9" a="1"/>
  <c r="D16" i="9" a="1"/>
  <c r="C5" i="9" a="1"/>
  <c r="D5" i="9" a="1"/>
  <c r="C2" i="9" a="1"/>
  <c r="D2" i="9" a="1"/>
  <c r="C3" i="9" a="1"/>
  <c r="D3" i="9" a="1"/>
  <c r="C6" i="9" a="1"/>
  <c r="D6" i="9" a="1"/>
  <c r="C13" i="9" a="1"/>
  <c r="D13" i="9" a="1"/>
  <c r="C10" i="9" a="1"/>
  <c r="D10" i="9" a="1"/>
  <c r="C9" i="9" a="1"/>
  <c r="D9" i="9" a="1"/>
  <c r="C15" i="9" a="1"/>
  <c r="D15" i="9" a="1"/>
  <c r="C11" i="9" a="1"/>
  <c r="D11" i="9" a="1"/>
  <c r="C14" i="9" a="1"/>
  <c r="D14" i="9" a="1"/>
  <c r="C7" i="9" a="1"/>
  <c r="D7" i="9" a="1"/>
  <c r="C17" i="9" a="1"/>
  <c r="D17" i="9" a="1"/>
  <c r="C4" i="9" a="1"/>
  <c r="D4" i="9" a="1"/>
  <c r="D18" i="9" a="1"/>
  <c r="C18" i="9" a="1"/>
  <c r="C5" i="8" a="1"/>
  <c r="D5" i="8" a="1"/>
  <c r="C4" i="8" a="1"/>
  <c r="D4" i="8" a="1"/>
  <c r="C7" i="8" a="1"/>
  <c r="D7" i="8" a="1"/>
  <c r="C6" i="8" a="1"/>
  <c r="D6" i="8" a="1"/>
  <c r="C2" i="8" a="1"/>
  <c r="D2" i="8" a="1"/>
  <c r="D3" i="8" a="1"/>
  <c r="C3" i="8" a="1"/>
  <c r="C4" i="7" a="1"/>
  <c r="D4" i="7" a="1"/>
  <c r="C6" i="7" a="1"/>
  <c r="D6" i="7" a="1"/>
  <c r="C3" i="7" a="1"/>
  <c r="D3" i="7" a="1"/>
  <c r="C7" i="7" a="1"/>
  <c r="D7" i="7" a="1"/>
  <c r="C8" i="7" a="1"/>
  <c r="D8" i="7" a="1"/>
  <c r="C5" i="7" a="1"/>
  <c r="D5" i="7" a="1"/>
  <c r="D2" i="7" a="1"/>
  <c r="C2" i="7" a="1"/>
  <c r="C5" i="6" a="1"/>
  <c r="D5" i="6" a="1"/>
  <c r="C2" i="6" a="1"/>
  <c r="D2" i="6" a="1"/>
  <c r="C4" i="6" a="1"/>
  <c r="D4" i="6" a="1"/>
  <c r="C3" i="6" a="1"/>
  <c r="D3" i="6" a="1"/>
  <c r="C7" i="6" a="1"/>
  <c r="D7" i="6" a="1"/>
  <c r="D6" i="6" a="1"/>
  <c r="C6" i="6" a="1"/>
  <c r="C3" i="5" a="1"/>
  <c r="D3" i="5" a="1"/>
  <c r="C8" i="5" a="1"/>
  <c r="D8" i="5" a="1"/>
  <c r="C5" i="5" a="1"/>
  <c r="D5" i="5" a="1"/>
  <c r="C6" i="5" a="1"/>
  <c r="D6" i="5" a="1"/>
  <c r="C7" i="5" a="1"/>
  <c r="D7" i="5" a="1"/>
  <c r="C4" i="5" a="1"/>
  <c r="D4" i="5" a="1"/>
  <c r="D2" i="5" a="1"/>
  <c r="C2" i="5" a="1"/>
  <c r="C2" i="4" a="1"/>
  <c r="D2" i="4" a="1"/>
  <c r="C8" i="4" a="1"/>
  <c r="D8" i="4" a="1"/>
  <c r="C19" i="4" a="1"/>
  <c r="D19" i="4" a="1"/>
  <c r="C17" i="4" a="1"/>
  <c r="D17" i="4" a="1"/>
  <c r="C6" i="4" a="1"/>
  <c r="D6" i="4" a="1"/>
  <c r="C3" i="4" a="1"/>
  <c r="D3" i="4" a="1"/>
  <c r="C13" i="4" a="1"/>
  <c r="D13" i="4" a="1"/>
  <c r="C18" i="4" a="1"/>
  <c r="D18" i="4" a="1"/>
  <c r="C4" i="4" a="1"/>
  <c r="D4" i="4" a="1"/>
  <c r="C7" i="4" a="1"/>
  <c r="D7" i="4" a="1"/>
  <c r="C14" i="4" a="1"/>
  <c r="D14" i="4" a="1"/>
  <c r="C12" i="4" a="1"/>
  <c r="D12" i="4" a="1"/>
  <c r="C20" i="4" a="1"/>
  <c r="D20" i="4" a="1"/>
  <c r="C5" i="4" a="1"/>
  <c r="D5" i="4" a="1"/>
  <c r="C11" i="4" a="1"/>
  <c r="D11" i="4" a="1"/>
  <c r="C16" i="4" a="1"/>
  <c r="D16" i="4" a="1"/>
  <c r="C10" i="4" a="1"/>
  <c r="D10" i="4" a="1"/>
  <c r="C15" i="4" a="1"/>
  <c r="D15" i="4" a="1"/>
  <c r="D9" i="4" a="1"/>
  <c r="C9" i="4" a="1"/>
  <c r="C9" i="3" a="1"/>
  <c r="D9" i="3" a="1"/>
  <c r="C2" i="3" a="1"/>
  <c r="D2" i="3" a="1"/>
  <c r="C3" i="3" a="1"/>
  <c r="D3" i="3" a="1"/>
  <c r="C28" i="3" a="1"/>
  <c r="D28" i="3" a="1"/>
  <c r="C19" i="3" a="1"/>
  <c r="D19" i="3" a="1"/>
  <c r="C4" i="3" a="1"/>
  <c r="D4" i="3" a="1"/>
  <c r="C35" i="3" a="1"/>
  <c r="D35" i="3" a="1"/>
  <c r="C23" i="3" a="1"/>
  <c r="D23" i="3" a="1"/>
  <c r="C32" i="3" a="1"/>
  <c r="D32" i="3" a="1"/>
  <c r="C18" i="3" a="1"/>
  <c r="D18" i="3" a="1"/>
  <c r="C5" i="3" a="1"/>
  <c r="D5" i="3" a="1"/>
  <c r="C15" i="3" a="1"/>
  <c r="D15" i="3" a="1"/>
  <c r="C26" i="3" a="1"/>
  <c r="D26" i="3" a="1"/>
  <c r="C22" i="3" a="1"/>
  <c r="D22" i="3" a="1"/>
  <c r="C17" i="3" a="1"/>
  <c r="D17" i="3" a="1"/>
  <c r="C33" i="3" a="1"/>
  <c r="D33" i="3" a="1"/>
  <c r="C31" i="3" a="1"/>
  <c r="D31" i="3" a="1"/>
  <c r="C16" i="3" a="1"/>
  <c r="D16" i="3" a="1"/>
  <c r="C20" i="3" a="1"/>
  <c r="D20" i="3" a="1"/>
  <c r="C12" i="3" a="1"/>
  <c r="D12" i="3" a="1"/>
  <c r="C10" i="3" a="1"/>
  <c r="D10" i="3" a="1"/>
  <c r="C34" i="3" a="1"/>
  <c r="D34" i="3" a="1"/>
  <c r="C25" i="3" a="1"/>
  <c r="D25" i="3" a="1"/>
  <c r="C13" i="3" a="1"/>
  <c r="D13" i="3" a="1"/>
  <c r="C24" i="3" a="1"/>
  <c r="D24" i="3" a="1"/>
  <c r="C14" i="3" a="1"/>
  <c r="D14" i="3" a="1"/>
  <c r="C21" i="3" a="1"/>
  <c r="D21" i="3" a="1"/>
  <c r="C27" i="3" a="1"/>
  <c r="D27" i="3" a="1"/>
  <c r="C7" i="3" a="1"/>
  <c r="D7" i="3" a="1"/>
  <c r="C11" i="3" a="1"/>
  <c r="D11" i="3" a="1"/>
  <c r="C29" i="3" a="1"/>
  <c r="D29" i="3" a="1"/>
  <c r="D30" i="3" a="1"/>
  <c r="C30" i="3" a="1"/>
  <c r="D10" i="2" a="1"/>
  <c r="D8" i="2" a="1"/>
  <c r="D9" i="2" a="1"/>
  <c r="D11" i="2" a="1"/>
  <c r="D7" i="2" a="1"/>
  <c r="D5" i="2" a="1"/>
  <c r="D12" i="2" a="1"/>
  <c r="D4" i="2" a="1"/>
  <c r="D6" i="2" a="1"/>
  <c r="D3" i="2" a="1"/>
  <c r="D2" i="2" a="1"/>
  <c r="C10" i="2" a="1"/>
  <c r="C8" i="2" a="1"/>
  <c r="C9" i="2" a="1"/>
  <c r="C11" i="2" a="1"/>
  <c r="C7" i="2" a="1"/>
  <c r="C5" i="2" a="1"/>
  <c r="C12" i="2" a="1"/>
  <c r="C4" i="2" a="1"/>
  <c r="C6" i="2" a="1"/>
  <c r="C3" i="2" a="1"/>
  <c r="C2" i="2" a="1"/>
  <c r="D5" i="1" a="1"/>
  <c r="D7" i="1" a="1"/>
  <c r="D8" i="1" a="1"/>
  <c r="D3" i="1" a="1"/>
  <c r="D2" i="1" a="1"/>
  <c r="D4" i="1" a="1"/>
  <c r="D6" i="1" a="1"/>
  <c r="C5" i="1" a="1"/>
  <c r="C7" i="1" a="1"/>
  <c r="C8" i="1" a="1"/>
  <c r="C3" i="1" a="1"/>
  <c r="C2" i="1" a="1"/>
  <c r="C4" i="1" a="1"/>
  <c r="C6" i="1" a="1"/>
</calcChain>
</file>

<file path=xl/metadata.xml><?xml version="1.0" encoding="utf-8"?>
<metadata xmlns="http://schemas.openxmlformats.org/spreadsheetml/2006/main" xmlns:xlrd="http://schemas.microsoft.com/office/spreadsheetml/2017/richdata" xmlns:xda="http://schemas.microsoft.com/office/spreadsheetml/2017/dynamicarray">
  <metadataTypes count="2">
    <metadataType name="XLDAPR" minSupportedVersion="120000" copy="1" pasteAll="1" pasteValues="1" merge="1" splitFirst="1" rowColShift="1" clearFormats="1" clearComments="1" assign="1" coerce="1" cellMeta="1"/>
    <metadataType name="XLRICHVALUE" minSupportedVersion="120000" copy="1" pasteAll="1" pasteValues="1" merge="1" splitFirst="1" rowColShift="1" clearFormats="1" clearComments="1" assign="1" coerce="1"/>
  </metadataTypes>
  <futureMetadata name="XLDAPR" count="1">
    <bk>
      <extLst>
        <ext uri="{bdbb8cdc-fa1e-496e-a857-3c3f30c029c3}">
          <xda:dynamicArrayProperties fDynamic="1" fCollapsed="0"/>
        </ext>
      </extLst>
    </bk>
  </futureMetadata>
  <futureMetadata name="XLRICHVALUE" count="200">
    <bk>
      <extLst>
        <ext uri="{3e2802c4-a4d2-4d8b-9148-e3be6c30e623}">
          <xlrd:rvb i="2"/>
        </ext>
      </extLst>
    </bk>
    <bk>
      <extLst>
        <ext uri="{3e2802c4-a4d2-4d8b-9148-e3be6c30e623}">
          <xlrd:rvb i="5"/>
        </ext>
      </extLst>
    </bk>
    <bk>
      <extLst>
        <ext uri="{3e2802c4-a4d2-4d8b-9148-e3be6c30e623}">
          <xlrd:rvb i="8"/>
        </ext>
      </extLst>
    </bk>
    <bk>
      <extLst>
        <ext uri="{3e2802c4-a4d2-4d8b-9148-e3be6c30e623}">
          <xlrd:rvb i="11"/>
        </ext>
      </extLst>
    </bk>
    <bk>
      <extLst>
        <ext uri="{3e2802c4-a4d2-4d8b-9148-e3be6c30e623}">
          <xlrd:rvb i="14"/>
        </ext>
      </extLst>
    </bk>
    <bk>
      <extLst>
        <ext uri="{3e2802c4-a4d2-4d8b-9148-e3be6c30e623}">
          <xlrd:rvb i="16"/>
        </ext>
      </extLst>
    </bk>
    <bk>
      <extLst>
        <ext uri="{3e2802c4-a4d2-4d8b-9148-e3be6c30e623}">
          <xlrd:rvb i="19"/>
        </ext>
      </extLst>
    </bk>
    <bk>
      <extLst>
        <ext uri="{3e2802c4-a4d2-4d8b-9148-e3be6c30e623}">
          <xlrd:rvb i="22"/>
        </ext>
      </extLst>
    </bk>
    <bk>
      <extLst>
        <ext uri="{3e2802c4-a4d2-4d8b-9148-e3be6c30e623}">
          <xlrd:rvb i="25"/>
        </ext>
      </extLst>
    </bk>
    <bk>
      <extLst>
        <ext uri="{3e2802c4-a4d2-4d8b-9148-e3be6c30e623}">
          <xlrd:rvb i="28"/>
        </ext>
      </extLst>
    </bk>
    <bk>
      <extLst>
        <ext uri="{3e2802c4-a4d2-4d8b-9148-e3be6c30e623}">
          <xlrd:rvb i="31"/>
        </ext>
      </extLst>
    </bk>
    <bk>
      <extLst>
        <ext uri="{3e2802c4-a4d2-4d8b-9148-e3be6c30e623}">
          <xlrd:rvb i="34"/>
        </ext>
      </extLst>
    </bk>
    <bk>
      <extLst>
        <ext uri="{3e2802c4-a4d2-4d8b-9148-e3be6c30e623}">
          <xlrd:rvb i="37"/>
        </ext>
      </extLst>
    </bk>
    <bk>
      <extLst>
        <ext uri="{3e2802c4-a4d2-4d8b-9148-e3be6c30e623}">
          <xlrd:rvb i="40"/>
        </ext>
      </extLst>
    </bk>
    <bk>
      <extLst>
        <ext uri="{3e2802c4-a4d2-4d8b-9148-e3be6c30e623}">
          <xlrd:rvb i="43"/>
        </ext>
      </extLst>
    </bk>
    <bk>
      <extLst>
        <ext uri="{3e2802c4-a4d2-4d8b-9148-e3be6c30e623}">
          <xlrd:rvb i="46"/>
        </ext>
      </extLst>
    </bk>
    <bk>
      <extLst>
        <ext uri="{3e2802c4-a4d2-4d8b-9148-e3be6c30e623}">
          <xlrd:rvb i="49"/>
        </ext>
      </extLst>
    </bk>
    <bk>
      <extLst>
        <ext uri="{3e2802c4-a4d2-4d8b-9148-e3be6c30e623}">
          <xlrd:rvb i="52"/>
        </ext>
      </extLst>
    </bk>
    <bk>
      <extLst>
        <ext uri="{3e2802c4-a4d2-4d8b-9148-e3be6c30e623}">
          <xlrd:rvb i="55"/>
        </ext>
      </extLst>
    </bk>
    <bk>
      <extLst>
        <ext uri="{3e2802c4-a4d2-4d8b-9148-e3be6c30e623}">
          <xlrd:rvb i="58"/>
        </ext>
      </extLst>
    </bk>
    <bk>
      <extLst>
        <ext uri="{3e2802c4-a4d2-4d8b-9148-e3be6c30e623}">
          <xlrd:rvb i="61"/>
        </ext>
      </extLst>
    </bk>
    <bk>
      <extLst>
        <ext uri="{3e2802c4-a4d2-4d8b-9148-e3be6c30e623}">
          <xlrd:rvb i="64"/>
        </ext>
      </extLst>
    </bk>
    <bk>
      <extLst>
        <ext uri="{3e2802c4-a4d2-4d8b-9148-e3be6c30e623}">
          <xlrd:rvb i="67"/>
        </ext>
      </extLst>
    </bk>
    <bk>
      <extLst>
        <ext uri="{3e2802c4-a4d2-4d8b-9148-e3be6c30e623}">
          <xlrd:rvb i="70"/>
        </ext>
      </extLst>
    </bk>
    <bk>
      <extLst>
        <ext uri="{3e2802c4-a4d2-4d8b-9148-e3be6c30e623}">
          <xlrd:rvb i="73"/>
        </ext>
      </extLst>
    </bk>
    <bk>
      <extLst>
        <ext uri="{3e2802c4-a4d2-4d8b-9148-e3be6c30e623}">
          <xlrd:rvb i="76"/>
        </ext>
      </extLst>
    </bk>
    <bk>
      <extLst>
        <ext uri="{3e2802c4-a4d2-4d8b-9148-e3be6c30e623}">
          <xlrd:rvb i="79"/>
        </ext>
      </extLst>
    </bk>
    <bk>
      <extLst>
        <ext uri="{3e2802c4-a4d2-4d8b-9148-e3be6c30e623}">
          <xlrd:rvb i="82"/>
        </ext>
      </extLst>
    </bk>
    <bk>
      <extLst>
        <ext uri="{3e2802c4-a4d2-4d8b-9148-e3be6c30e623}">
          <xlrd:rvb i="84"/>
        </ext>
      </extLst>
    </bk>
    <bk>
      <extLst>
        <ext uri="{3e2802c4-a4d2-4d8b-9148-e3be6c30e623}">
          <xlrd:rvb i="86"/>
        </ext>
      </extLst>
    </bk>
    <bk>
      <extLst>
        <ext uri="{3e2802c4-a4d2-4d8b-9148-e3be6c30e623}">
          <xlrd:rvb i="89"/>
        </ext>
      </extLst>
    </bk>
    <bk>
      <extLst>
        <ext uri="{3e2802c4-a4d2-4d8b-9148-e3be6c30e623}">
          <xlrd:rvb i="92"/>
        </ext>
      </extLst>
    </bk>
    <bk>
      <extLst>
        <ext uri="{3e2802c4-a4d2-4d8b-9148-e3be6c30e623}">
          <xlrd:rvb i="95"/>
        </ext>
      </extLst>
    </bk>
    <bk>
      <extLst>
        <ext uri="{3e2802c4-a4d2-4d8b-9148-e3be6c30e623}">
          <xlrd:rvb i="98"/>
        </ext>
      </extLst>
    </bk>
    <bk>
      <extLst>
        <ext uri="{3e2802c4-a4d2-4d8b-9148-e3be6c30e623}">
          <xlrd:rvb i="101"/>
        </ext>
      </extLst>
    </bk>
    <bk>
      <extLst>
        <ext uri="{3e2802c4-a4d2-4d8b-9148-e3be6c30e623}">
          <xlrd:rvb i="103"/>
        </ext>
      </extLst>
    </bk>
    <bk>
      <extLst>
        <ext uri="{3e2802c4-a4d2-4d8b-9148-e3be6c30e623}">
          <xlrd:rvb i="106"/>
        </ext>
      </extLst>
    </bk>
    <bk>
      <extLst>
        <ext uri="{3e2802c4-a4d2-4d8b-9148-e3be6c30e623}">
          <xlrd:rvb i="109"/>
        </ext>
      </extLst>
    </bk>
    <bk>
      <extLst>
        <ext uri="{3e2802c4-a4d2-4d8b-9148-e3be6c30e623}">
          <xlrd:rvb i="112"/>
        </ext>
      </extLst>
    </bk>
    <bk>
      <extLst>
        <ext uri="{3e2802c4-a4d2-4d8b-9148-e3be6c30e623}">
          <xlrd:rvb i="115"/>
        </ext>
      </extLst>
    </bk>
    <bk>
      <extLst>
        <ext uri="{3e2802c4-a4d2-4d8b-9148-e3be6c30e623}">
          <xlrd:rvb i="118"/>
        </ext>
      </extLst>
    </bk>
    <bk>
      <extLst>
        <ext uri="{3e2802c4-a4d2-4d8b-9148-e3be6c30e623}">
          <xlrd:rvb i="121"/>
        </ext>
      </extLst>
    </bk>
    <bk>
      <extLst>
        <ext uri="{3e2802c4-a4d2-4d8b-9148-e3be6c30e623}">
          <xlrd:rvb i="124"/>
        </ext>
      </extLst>
    </bk>
    <bk>
      <extLst>
        <ext uri="{3e2802c4-a4d2-4d8b-9148-e3be6c30e623}">
          <xlrd:rvb i="127"/>
        </ext>
      </extLst>
    </bk>
    <bk>
      <extLst>
        <ext uri="{3e2802c4-a4d2-4d8b-9148-e3be6c30e623}">
          <xlrd:rvb i="130"/>
        </ext>
      </extLst>
    </bk>
    <bk>
      <extLst>
        <ext uri="{3e2802c4-a4d2-4d8b-9148-e3be6c30e623}">
          <xlrd:rvb i="133"/>
        </ext>
      </extLst>
    </bk>
    <bk>
      <extLst>
        <ext uri="{3e2802c4-a4d2-4d8b-9148-e3be6c30e623}">
          <xlrd:rvb i="136"/>
        </ext>
      </extLst>
    </bk>
    <bk>
      <extLst>
        <ext uri="{3e2802c4-a4d2-4d8b-9148-e3be6c30e623}">
          <xlrd:rvb i="139"/>
        </ext>
      </extLst>
    </bk>
    <bk>
      <extLst>
        <ext uri="{3e2802c4-a4d2-4d8b-9148-e3be6c30e623}">
          <xlrd:rvb i="142"/>
        </ext>
      </extLst>
    </bk>
    <bk>
      <extLst>
        <ext uri="{3e2802c4-a4d2-4d8b-9148-e3be6c30e623}">
          <xlrd:rvb i="145"/>
        </ext>
      </extLst>
    </bk>
    <bk>
      <extLst>
        <ext uri="{3e2802c4-a4d2-4d8b-9148-e3be6c30e623}">
          <xlrd:rvb i="148"/>
        </ext>
      </extLst>
    </bk>
    <bk>
      <extLst>
        <ext uri="{3e2802c4-a4d2-4d8b-9148-e3be6c30e623}">
          <xlrd:rvb i="151"/>
        </ext>
      </extLst>
    </bk>
    <bk>
      <extLst>
        <ext uri="{3e2802c4-a4d2-4d8b-9148-e3be6c30e623}">
          <xlrd:rvb i="154"/>
        </ext>
      </extLst>
    </bk>
    <bk>
      <extLst>
        <ext uri="{3e2802c4-a4d2-4d8b-9148-e3be6c30e623}">
          <xlrd:rvb i="157"/>
        </ext>
      </extLst>
    </bk>
    <bk>
      <extLst>
        <ext uri="{3e2802c4-a4d2-4d8b-9148-e3be6c30e623}">
          <xlrd:rvb i="160"/>
        </ext>
      </extLst>
    </bk>
    <bk>
      <extLst>
        <ext uri="{3e2802c4-a4d2-4d8b-9148-e3be6c30e623}">
          <xlrd:rvb i="163"/>
        </ext>
      </extLst>
    </bk>
    <bk>
      <extLst>
        <ext uri="{3e2802c4-a4d2-4d8b-9148-e3be6c30e623}">
          <xlrd:rvb i="166"/>
        </ext>
      </extLst>
    </bk>
    <bk>
      <extLst>
        <ext uri="{3e2802c4-a4d2-4d8b-9148-e3be6c30e623}">
          <xlrd:rvb i="169"/>
        </ext>
      </extLst>
    </bk>
    <bk>
      <extLst>
        <ext uri="{3e2802c4-a4d2-4d8b-9148-e3be6c30e623}">
          <xlrd:rvb i="172"/>
        </ext>
      </extLst>
    </bk>
    <bk>
      <extLst>
        <ext uri="{3e2802c4-a4d2-4d8b-9148-e3be6c30e623}">
          <xlrd:rvb i="175"/>
        </ext>
      </extLst>
    </bk>
    <bk>
      <extLst>
        <ext uri="{3e2802c4-a4d2-4d8b-9148-e3be6c30e623}">
          <xlrd:rvb i="178"/>
        </ext>
      </extLst>
    </bk>
    <bk>
      <extLst>
        <ext uri="{3e2802c4-a4d2-4d8b-9148-e3be6c30e623}">
          <xlrd:rvb i="181"/>
        </ext>
      </extLst>
    </bk>
    <bk>
      <extLst>
        <ext uri="{3e2802c4-a4d2-4d8b-9148-e3be6c30e623}">
          <xlrd:rvb i="184"/>
        </ext>
      </extLst>
    </bk>
    <bk>
      <extLst>
        <ext uri="{3e2802c4-a4d2-4d8b-9148-e3be6c30e623}">
          <xlrd:rvb i="187"/>
        </ext>
      </extLst>
    </bk>
    <bk>
      <extLst>
        <ext uri="{3e2802c4-a4d2-4d8b-9148-e3be6c30e623}">
          <xlrd:rvb i="190"/>
        </ext>
      </extLst>
    </bk>
    <bk>
      <extLst>
        <ext uri="{3e2802c4-a4d2-4d8b-9148-e3be6c30e623}">
          <xlrd:rvb i="193"/>
        </ext>
      </extLst>
    </bk>
    <bk>
      <extLst>
        <ext uri="{3e2802c4-a4d2-4d8b-9148-e3be6c30e623}">
          <xlrd:rvb i="196"/>
        </ext>
      </extLst>
    </bk>
    <bk>
      <extLst>
        <ext uri="{3e2802c4-a4d2-4d8b-9148-e3be6c30e623}">
          <xlrd:rvb i="199"/>
        </ext>
      </extLst>
    </bk>
    <bk>
      <extLst>
        <ext uri="{3e2802c4-a4d2-4d8b-9148-e3be6c30e623}">
          <xlrd:rvb i="202"/>
        </ext>
      </extLst>
    </bk>
    <bk>
      <extLst>
        <ext uri="{3e2802c4-a4d2-4d8b-9148-e3be6c30e623}">
          <xlrd:rvb i="205"/>
        </ext>
      </extLst>
    </bk>
    <bk>
      <extLst>
        <ext uri="{3e2802c4-a4d2-4d8b-9148-e3be6c30e623}">
          <xlrd:rvb i="208"/>
        </ext>
      </extLst>
    </bk>
    <bk>
      <extLst>
        <ext uri="{3e2802c4-a4d2-4d8b-9148-e3be6c30e623}">
          <xlrd:rvb i="211"/>
        </ext>
      </extLst>
    </bk>
    <bk>
      <extLst>
        <ext uri="{3e2802c4-a4d2-4d8b-9148-e3be6c30e623}">
          <xlrd:rvb i="214"/>
        </ext>
      </extLst>
    </bk>
    <bk>
      <extLst>
        <ext uri="{3e2802c4-a4d2-4d8b-9148-e3be6c30e623}">
          <xlrd:rvb i="217"/>
        </ext>
      </extLst>
    </bk>
    <bk>
      <extLst>
        <ext uri="{3e2802c4-a4d2-4d8b-9148-e3be6c30e623}">
          <xlrd:rvb i="220"/>
        </ext>
      </extLst>
    </bk>
    <bk>
      <extLst>
        <ext uri="{3e2802c4-a4d2-4d8b-9148-e3be6c30e623}">
          <xlrd:rvb i="223"/>
        </ext>
      </extLst>
    </bk>
    <bk>
      <extLst>
        <ext uri="{3e2802c4-a4d2-4d8b-9148-e3be6c30e623}">
          <xlrd:rvb i="226"/>
        </ext>
      </extLst>
    </bk>
    <bk>
      <extLst>
        <ext uri="{3e2802c4-a4d2-4d8b-9148-e3be6c30e623}">
          <xlrd:rvb i="229"/>
        </ext>
      </extLst>
    </bk>
    <bk>
      <extLst>
        <ext uri="{3e2802c4-a4d2-4d8b-9148-e3be6c30e623}">
          <xlrd:rvb i="232"/>
        </ext>
      </extLst>
    </bk>
    <bk>
      <extLst>
        <ext uri="{3e2802c4-a4d2-4d8b-9148-e3be6c30e623}">
          <xlrd:rvb i="235"/>
        </ext>
      </extLst>
    </bk>
    <bk>
      <extLst>
        <ext uri="{3e2802c4-a4d2-4d8b-9148-e3be6c30e623}">
          <xlrd:rvb i="238"/>
        </ext>
      </extLst>
    </bk>
    <bk>
      <extLst>
        <ext uri="{3e2802c4-a4d2-4d8b-9148-e3be6c30e623}">
          <xlrd:rvb i="241"/>
        </ext>
      </extLst>
    </bk>
    <bk>
      <extLst>
        <ext uri="{3e2802c4-a4d2-4d8b-9148-e3be6c30e623}">
          <xlrd:rvb i="244"/>
        </ext>
      </extLst>
    </bk>
    <bk>
      <extLst>
        <ext uri="{3e2802c4-a4d2-4d8b-9148-e3be6c30e623}">
          <xlrd:rvb i="247"/>
        </ext>
      </extLst>
    </bk>
    <bk>
      <extLst>
        <ext uri="{3e2802c4-a4d2-4d8b-9148-e3be6c30e623}">
          <xlrd:rvb i="250"/>
        </ext>
      </extLst>
    </bk>
    <bk>
      <extLst>
        <ext uri="{3e2802c4-a4d2-4d8b-9148-e3be6c30e623}">
          <xlrd:rvb i="253"/>
        </ext>
      </extLst>
    </bk>
    <bk>
      <extLst>
        <ext uri="{3e2802c4-a4d2-4d8b-9148-e3be6c30e623}">
          <xlrd:rvb i="256"/>
        </ext>
      </extLst>
    </bk>
    <bk>
      <extLst>
        <ext uri="{3e2802c4-a4d2-4d8b-9148-e3be6c30e623}">
          <xlrd:rvb i="263"/>
        </ext>
      </extLst>
    </bk>
    <bk>
      <extLst>
        <ext uri="{3e2802c4-a4d2-4d8b-9148-e3be6c30e623}">
          <xlrd:rvb i="266"/>
        </ext>
      </extLst>
    </bk>
    <bk>
      <extLst>
        <ext uri="{3e2802c4-a4d2-4d8b-9148-e3be6c30e623}">
          <xlrd:rvb i="269"/>
        </ext>
      </extLst>
    </bk>
    <bk>
      <extLst>
        <ext uri="{3e2802c4-a4d2-4d8b-9148-e3be6c30e623}">
          <xlrd:rvb i="272"/>
        </ext>
      </extLst>
    </bk>
    <bk>
      <extLst>
        <ext uri="{3e2802c4-a4d2-4d8b-9148-e3be6c30e623}">
          <xlrd:rvb i="275"/>
        </ext>
      </extLst>
    </bk>
    <bk>
      <extLst>
        <ext uri="{3e2802c4-a4d2-4d8b-9148-e3be6c30e623}">
          <xlrd:rvb i="278"/>
        </ext>
      </extLst>
    </bk>
    <bk>
      <extLst>
        <ext uri="{3e2802c4-a4d2-4d8b-9148-e3be6c30e623}">
          <xlrd:rvb i="281"/>
        </ext>
      </extLst>
    </bk>
    <bk>
      <extLst>
        <ext uri="{3e2802c4-a4d2-4d8b-9148-e3be6c30e623}">
          <xlrd:rvb i="284"/>
        </ext>
      </extLst>
    </bk>
    <bk>
      <extLst>
        <ext uri="{3e2802c4-a4d2-4d8b-9148-e3be6c30e623}">
          <xlrd:rvb i="287"/>
        </ext>
      </extLst>
    </bk>
    <bk>
      <extLst>
        <ext uri="{3e2802c4-a4d2-4d8b-9148-e3be6c30e623}">
          <xlrd:rvb i="290"/>
        </ext>
      </extLst>
    </bk>
    <bk>
      <extLst>
        <ext uri="{3e2802c4-a4d2-4d8b-9148-e3be6c30e623}">
          <xlrd:rvb i="293"/>
        </ext>
      </extLst>
    </bk>
    <bk>
      <extLst>
        <ext uri="{3e2802c4-a4d2-4d8b-9148-e3be6c30e623}">
          <xlrd:rvb i="295"/>
        </ext>
      </extLst>
    </bk>
    <bk>
      <extLst>
        <ext uri="{3e2802c4-a4d2-4d8b-9148-e3be6c30e623}">
          <xlrd:rvb i="298"/>
        </ext>
      </extLst>
    </bk>
    <bk>
      <extLst>
        <ext uri="{3e2802c4-a4d2-4d8b-9148-e3be6c30e623}">
          <xlrd:rvb i="301"/>
        </ext>
      </extLst>
    </bk>
    <bk>
      <extLst>
        <ext uri="{3e2802c4-a4d2-4d8b-9148-e3be6c30e623}">
          <xlrd:rvb i="304"/>
        </ext>
      </extLst>
    </bk>
    <bk>
      <extLst>
        <ext uri="{3e2802c4-a4d2-4d8b-9148-e3be6c30e623}">
          <xlrd:rvb i="307"/>
        </ext>
      </extLst>
    </bk>
    <bk>
      <extLst>
        <ext uri="{3e2802c4-a4d2-4d8b-9148-e3be6c30e623}">
          <xlrd:rvb i="310"/>
        </ext>
      </extLst>
    </bk>
    <bk>
      <extLst>
        <ext uri="{3e2802c4-a4d2-4d8b-9148-e3be6c30e623}">
          <xlrd:rvb i="313"/>
        </ext>
      </extLst>
    </bk>
    <bk>
      <extLst>
        <ext uri="{3e2802c4-a4d2-4d8b-9148-e3be6c30e623}">
          <xlrd:rvb i="316"/>
        </ext>
      </extLst>
    </bk>
    <bk>
      <extLst>
        <ext uri="{3e2802c4-a4d2-4d8b-9148-e3be6c30e623}">
          <xlrd:rvb i="319"/>
        </ext>
      </extLst>
    </bk>
    <bk>
      <extLst>
        <ext uri="{3e2802c4-a4d2-4d8b-9148-e3be6c30e623}">
          <xlrd:rvb i="322"/>
        </ext>
      </extLst>
    </bk>
    <bk>
      <extLst>
        <ext uri="{3e2802c4-a4d2-4d8b-9148-e3be6c30e623}">
          <xlrd:rvb i="325"/>
        </ext>
      </extLst>
    </bk>
    <bk>
      <extLst>
        <ext uri="{3e2802c4-a4d2-4d8b-9148-e3be6c30e623}">
          <xlrd:rvb i="328"/>
        </ext>
      </extLst>
    </bk>
    <bk>
      <extLst>
        <ext uri="{3e2802c4-a4d2-4d8b-9148-e3be6c30e623}">
          <xlrd:rvb i="331"/>
        </ext>
      </extLst>
    </bk>
    <bk>
      <extLst>
        <ext uri="{3e2802c4-a4d2-4d8b-9148-e3be6c30e623}">
          <xlrd:rvb i="334"/>
        </ext>
      </extLst>
    </bk>
    <bk>
      <extLst>
        <ext uri="{3e2802c4-a4d2-4d8b-9148-e3be6c30e623}">
          <xlrd:rvb i="337"/>
        </ext>
      </extLst>
    </bk>
    <bk>
      <extLst>
        <ext uri="{3e2802c4-a4d2-4d8b-9148-e3be6c30e623}">
          <xlrd:rvb i="340"/>
        </ext>
      </extLst>
    </bk>
    <bk>
      <extLst>
        <ext uri="{3e2802c4-a4d2-4d8b-9148-e3be6c30e623}">
          <xlrd:rvb i="343"/>
        </ext>
      </extLst>
    </bk>
    <bk>
      <extLst>
        <ext uri="{3e2802c4-a4d2-4d8b-9148-e3be6c30e623}">
          <xlrd:rvb i="346"/>
        </ext>
      </extLst>
    </bk>
    <bk>
      <extLst>
        <ext uri="{3e2802c4-a4d2-4d8b-9148-e3be6c30e623}">
          <xlrd:rvb i="349"/>
        </ext>
      </extLst>
    </bk>
    <bk>
      <extLst>
        <ext uri="{3e2802c4-a4d2-4d8b-9148-e3be6c30e623}">
          <xlrd:rvb i="352"/>
        </ext>
      </extLst>
    </bk>
    <bk>
      <extLst>
        <ext uri="{3e2802c4-a4d2-4d8b-9148-e3be6c30e623}">
          <xlrd:rvb i="355"/>
        </ext>
      </extLst>
    </bk>
    <bk>
      <extLst>
        <ext uri="{3e2802c4-a4d2-4d8b-9148-e3be6c30e623}">
          <xlrd:rvb i="358"/>
        </ext>
      </extLst>
    </bk>
    <bk>
      <extLst>
        <ext uri="{3e2802c4-a4d2-4d8b-9148-e3be6c30e623}">
          <xlrd:rvb i="361"/>
        </ext>
      </extLst>
    </bk>
    <bk>
      <extLst>
        <ext uri="{3e2802c4-a4d2-4d8b-9148-e3be6c30e623}">
          <xlrd:rvb i="364"/>
        </ext>
      </extLst>
    </bk>
    <bk>
      <extLst>
        <ext uri="{3e2802c4-a4d2-4d8b-9148-e3be6c30e623}">
          <xlrd:rvb i="367"/>
        </ext>
      </extLst>
    </bk>
    <bk>
      <extLst>
        <ext uri="{3e2802c4-a4d2-4d8b-9148-e3be6c30e623}">
          <xlrd:rvb i="370"/>
        </ext>
      </extLst>
    </bk>
    <bk>
      <extLst>
        <ext uri="{3e2802c4-a4d2-4d8b-9148-e3be6c30e623}">
          <xlrd:rvb i="373"/>
        </ext>
      </extLst>
    </bk>
    <bk>
      <extLst>
        <ext uri="{3e2802c4-a4d2-4d8b-9148-e3be6c30e623}">
          <xlrd:rvb i="376"/>
        </ext>
      </extLst>
    </bk>
    <bk>
      <extLst>
        <ext uri="{3e2802c4-a4d2-4d8b-9148-e3be6c30e623}">
          <xlrd:rvb i="379"/>
        </ext>
      </extLst>
    </bk>
    <bk>
      <extLst>
        <ext uri="{3e2802c4-a4d2-4d8b-9148-e3be6c30e623}">
          <xlrd:rvb i="382"/>
        </ext>
      </extLst>
    </bk>
    <bk>
      <extLst>
        <ext uri="{3e2802c4-a4d2-4d8b-9148-e3be6c30e623}">
          <xlrd:rvb i="385"/>
        </ext>
      </extLst>
    </bk>
    <bk>
      <extLst>
        <ext uri="{3e2802c4-a4d2-4d8b-9148-e3be6c30e623}">
          <xlrd:rvb i="388"/>
        </ext>
      </extLst>
    </bk>
    <bk>
      <extLst>
        <ext uri="{3e2802c4-a4d2-4d8b-9148-e3be6c30e623}">
          <xlrd:rvb i="391"/>
        </ext>
      </extLst>
    </bk>
    <bk>
      <extLst>
        <ext uri="{3e2802c4-a4d2-4d8b-9148-e3be6c30e623}">
          <xlrd:rvb i="394"/>
        </ext>
      </extLst>
    </bk>
    <bk>
      <extLst>
        <ext uri="{3e2802c4-a4d2-4d8b-9148-e3be6c30e623}">
          <xlrd:rvb i="397"/>
        </ext>
      </extLst>
    </bk>
    <bk>
      <extLst>
        <ext uri="{3e2802c4-a4d2-4d8b-9148-e3be6c30e623}">
          <xlrd:rvb i="400"/>
        </ext>
      </extLst>
    </bk>
    <bk>
      <extLst>
        <ext uri="{3e2802c4-a4d2-4d8b-9148-e3be6c30e623}">
          <xlrd:rvb i="403"/>
        </ext>
      </extLst>
    </bk>
    <bk>
      <extLst>
        <ext uri="{3e2802c4-a4d2-4d8b-9148-e3be6c30e623}">
          <xlrd:rvb i="406"/>
        </ext>
      </extLst>
    </bk>
    <bk>
      <extLst>
        <ext uri="{3e2802c4-a4d2-4d8b-9148-e3be6c30e623}">
          <xlrd:rvb i="409"/>
        </ext>
      </extLst>
    </bk>
    <bk>
      <extLst>
        <ext uri="{3e2802c4-a4d2-4d8b-9148-e3be6c30e623}">
          <xlrd:rvb i="412"/>
        </ext>
      </extLst>
    </bk>
    <bk>
      <extLst>
        <ext uri="{3e2802c4-a4d2-4d8b-9148-e3be6c30e623}">
          <xlrd:rvb i="415"/>
        </ext>
      </extLst>
    </bk>
    <bk>
      <extLst>
        <ext uri="{3e2802c4-a4d2-4d8b-9148-e3be6c30e623}">
          <xlrd:rvb i="418"/>
        </ext>
      </extLst>
    </bk>
    <bk>
      <extLst>
        <ext uri="{3e2802c4-a4d2-4d8b-9148-e3be6c30e623}">
          <xlrd:rvb i="421"/>
        </ext>
      </extLst>
    </bk>
    <bk>
      <extLst>
        <ext uri="{3e2802c4-a4d2-4d8b-9148-e3be6c30e623}">
          <xlrd:rvb i="424"/>
        </ext>
      </extLst>
    </bk>
    <bk>
      <extLst>
        <ext uri="{3e2802c4-a4d2-4d8b-9148-e3be6c30e623}">
          <xlrd:rvb i="427"/>
        </ext>
      </extLst>
    </bk>
    <bk>
      <extLst>
        <ext uri="{3e2802c4-a4d2-4d8b-9148-e3be6c30e623}">
          <xlrd:rvb i="430"/>
        </ext>
      </extLst>
    </bk>
    <bk>
      <extLst>
        <ext uri="{3e2802c4-a4d2-4d8b-9148-e3be6c30e623}">
          <xlrd:rvb i="433"/>
        </ext>
      </extLst>
    </bk>
    <bk>
      <extLst>
        <ext uri="{3e2802c4-a4d2-4d8b-9148-e3be6c30e623}">
          <xlrd:rvb i="436"/>
        </ext>
      </extLst>
    </bk>
    <bk>
      <extLst>
        <ext uri="{3e2802c4-a4d2-4d8b-9148-e3be6c30e623}">
          <xlrd:rvb i="439"/>
        </ext>
      </extLst>
    </bk>
    <bk>
      <extLst>
        <ext uri="{3e2802c4-a4d2-4d8b-9148-e3be6c30e623}">
          <xlrd:rvb i="442"/>
        </ext>
      </extLst>
    </bk>
    <bk>
      <extLst>
        <ext uri="{3e2802c4-a4d2-4d8b-9148-e3be6c30e623}">
          <xlrd:rvb i="445"/>
        </ext>
      </extLst>
    </bk>
    <bk>
      <extLst>
        <ext uri="{3e2802c4-a4d2-4d8b-9148-e3be6c30e623}">
          <xlrd:rvb i="448"/>
        </ext>
      </extLst>
    </bk>
    <bk>
      <extLst>
        <ext uri="{3e2802c4-a4d2-4d8b-9148-e3be6c30e623}">
          <xlrd:rvb i="451"/>
        </ext>
      </extLst>
    </bk>
    <bk>
      <extLst>
        <ext uri="{3e2802c4-a4d2-4d8b-9148-e3be6c30e623}">
          <xlrd:rvb i="454"/>
        </ext>
      </extLst>
    </bk>
    <bk>
      <extLst>
        <ext uri="{3e2802c4-a4d2-4d8b-9148-e3be6c30e623}">
          <xlrd:rvb i="457"/>
        </ext>
      </extLst>
    </bk>
    <bk>
      <extLst>
        <ext uri="{3e2802c4-a4d2-4d8b-9148-e3be6c30e623}">
          <xlrd:rvb i="460"/>
        </ext>
      </extLst>
    </bk>
    <bk>
      <extLst>
        <ext uri="{3e2802c4-a4d2-4d8b-9148-e3be6c30e623}">
          <xlrd:rvb i="463"/>
        </ext>
      </extLst>
    </bk>
    <bk>
      <extLst>
        <ext uri="{3e2802c4-a4d2-4d8b-9148-e3be6c30e623}">
          <xlrd:rvb i="466"/>
        </ext>
      </extLst>
    </bk>
    <bk>
      <extLst>
        <ext uri="{3e2802c4-a4d2-4d8b-9148-e3be6c30e623}">
          <xlrd:rvb i="469"/>
        </ext>
      </extLst>
    </bk>
    <bk>
      <extLst>
        <ext uri="{3e2802c4-a4d2-4d8b-9148-e3be6c30e623}">
          <xlrd:rvb i="472"/>
        </ext>
      </extLst>
    </bk>
    <bk>
      <extLst>
        <ext uri="{3e2802c4-a4d2-4d8b-9148-e3be6c30e623}">
          <xlrd:rvb i="475"/>
        </ext>
      </extLst>
    </bk>
    <bk>
      <extLst>
        <ext uri="{3e2802c4-a4d2-4d8b-9148-e3be6c30e623}">
          <xlrd:rvb i="478"/>
        </ext>
      </extLst>
    </bk>
    <bk>
      <extLst>
        <ext uri="{3e2802c4-a4d2-4d8b-9148-e3be6c30e623}">
          <xlrd:rvb i="481"/>
        </ext>
      </extLst>
    </bk>
    <bk>
      <extLst>
        <ext uri="{3e2802c4-a4d2-4d8b-9148-e3be6c30e623}">
          <xlrd:rvb i="484"/>
        </ext>
      </extLst>
    </bk>
    <bk>
      <extLst>
        <ext uri="{3e2802c4-a4d2-4d8b-9148-e3be6c30e623}">
          <xlrd:rvb i="487"/>
        </ext>
      </extLst>
    </bk>
    <bk>
      <extLst>
        <ext uri="{3e2802c4-a4d2-4d8b-9148-e3be6c30e623}">
          <xlrd:rvb i="490"/>
        </ext>
      </extLst>
    </bk>
    <bk>
      <extLst>
        <ext uri="{3e2802c4-a4d2-4d8b-9148-e3be6c30e623}">
          <xlrd:rvb i="493"/>
        </ext>
      </extLst>
    </bk>
    <bk>
      <extLst>
        <ext uri="{3e2802c4-a4d2-4d8b-9148-e3be6c30e623}">
          <xlrd:rvb i="496"/>
        </ext>
      </extLst>
    </bk>
    <bk>
      <extLst>
        <ext uri="{3e2802c4-a4d2-4d8b-9148-e3be6c30e623}">
          <xlrd:rvb i="499"/>
        </ext>
      </extLst>
    </bk>
    <bk>
      <extLst>
        <ext uri="{3e2802c4-a4d2-4d8b-9148-e3be6c30e623}">
          <xlrd:rvb i="502"/>
        </ext>
      </extLst>
    </bk>
    <bk>
      <extLst>
        <ext uri="{3e2802c4-a4d2-4d8b-9148-e3be6c30e623}">
          <xlrd:rvb i="505"/>
        </ext>
      </extLst>
    </bk>
    <bk>
      <extLst>
        <ext uri="{3e2802c4-a4d2-4d8b-9148-e3be6c30e623}">
          <xlrd:rvb i="508"/>
        </ext>
      </extLst>
    </bk>
    <bk>
      <extLst>
        <ext uri="{3e2802c4-a4d2-4d8b-9148-e3be6c30e623}">
          <xlrd:rvb i="511"/>
        </ext>
      </extLst>
    </bk>
    <bk>
      <extLst>
        <ext uri="{3e2802c4-a4d2-4d8b-9148-e3be6c30e623}">
          <xlrd:rvb i="514"/>
        </ext>
      </extLst>
    </bk>
    <bk>
      <extLst>
        <ext uri="{3e2802c4-a4d2-4d8b-9148-e3be6c30e623}">
          <xlrd:rvb i="517"/>
        </ext>
      </extLst>
    </bk>
    <bk>
      <extLst>
        <ext uri="{3e2802c4-a4d2-4d8b-9148-e3be6c30e623}">
          <xlrd:rvb i="520"/>
        </ext>
      </extLst>
    </bk>
    <bk>
      <extLst>
        <ext uri="{3e2802c4-a4d2-4d8b-9148-e3be6c30e623}">
          <xlrd:rvb i="523"/>
        </ext>
      </extLst>
    </bk>
    <bk>
      <extLst>
        <ext uri="{3e2802c4-a4d2-4d8b-9148-e3be6c30e623}">
          <xlrd:rvb i="526"/>
        </ext>
      </extLst>
    </bk>
    <bk>
      <extLst>
        <ext uri="{3e2802c4-a4d2-4d8b-9148-e3be6c30e623}">
          <xlrd:rvb i="528"/>
        </ext>
      </extLst>
    </bk>
    <bk>
      <extLst>
        <ext uri="{3e2802c4-a4d2-4d8b-9148-e3be6c30e623}">
          <xlrd:rvb i="531"/>
        </ext>
      </extLst>
    </bk>
    <bk>
      <extLst>
        <ext uri="{3e2802c4-a4d2-4d8b-9148-e3be6c30e623}">
          <xlrd:rvb i="534"/>
        </ext>
      </extLst>
    </bk>
    <bk>
      <extLst>
        <ext uri="{3e2802c4-a4d2-4d8b-9148-e3be6c30e623}">
          <xlrd:rvb i="537"/>
        </ext>
      </extLst>
    </bk>
    <bk>
      <extLst>
        <ext uri="{3e2802c4-a4d2-4d8b-9148-e3be6c30e623}">
          <xlrd:rvb i="540"/>
        </ext>
      </extLst>
    </bk>
    <bk>
      <extLst>
        <ext uri="{3e2802c4-a4d2-4d8b-9148-e3be6c30e623}">
          <xlrd:rvb i="543"/>
        </ext>
      </extLst>
    </bk>
    <bk>
      <extLst>
        <ext uri="{3e2802c4-a4d2-4d8b-9148-e3be6c30e623}">
          <xlrd:rvb i="545"/>
        </ext>
      </extLst>
    </bk>
    <bk>
      <extLst>
        <ext uri="{3e2802c4-a4d2-4d8b-9148-e3be6c30e623}">
          <xlrd:rvb i="548"/>
        </ext>
      </extLst>
    </bk>
    <bk>
      <extLst>
        <ext uri="{3e2802c4-a4d2-4d8b-9148-e3be6c30e623}">
          <xlrd:rvb i="551"/>
        </ext>
      </extLst>
    </bk>
    <bk>
      <extLst>
        <ext uri="{3e2802c4-a4d2-4d8b-9148-e3be6c30e623}">
          <xlrd:rvb i="554"/>
        </ext>
      </extLst>
    </bk>
    <bk>
      <extLst>
        <ext uri="{3e2802c4-a4d2-4d8b-9148-e3be6c30e623}">
          <xlrd:rvb i="557"/>
        </ext>
      </extLst>
    </bk>
    <bk>
      <extLst>
        <ext uri="{3e2802c4-a4d2-4d8b-9148-e3be6c30e623}">
          <xlrd:rvb i="560"/>
        </ext>
      </extLst>
    </bk>
    <bk>
      <extLst>
        <ext uri="{3e2802c4-a4d2-4d8b-9148-e3be6c30e623}">
          <xlrd:rvb i="563"/>
        </ext>
      </extLst>
    </bk>
    <bk>
      <extLst>
        <ext uri="{3e2802c4-a4d2-4d8b-9148-e3be6c30e623}">
          <xlrd:rvb i="566"/>
        </ext>
      </extLst>
    </bk>
    <bk>
      <extLst>
        <ext uri="{3e2802c4-a4d2-4d8b-9148-e3be6c30e623}">
          <xlrd:rvb i="569"/>
        </ext>
      </extLst>
    </bk>
    <bk>
      <extLst>
        <ext uri="{3e2802c4-a4d2-4d8b-9148-e3be6c30e623}">
          <xlrd:rvb i="572"/>
        </ext>
      </extLst>
    </bk>
    <bk>
      <extLst>
        <ext uri="{3e2802c4-a4d2-4d8b-9148-e3be6c30e623}">
          <xlrd:rvb i="575"/>
        </ext>
      </extLst>
    </bk>
    <bk>
      <extLst>
        <ext uri="{3e2802c4-a4d2-4d8b-9148-e3be6c30e623}">
          <xlrd:rvb i="578"/>
        </ext>
      </extLst>
    </bk>
    <bk>
      <extLst>
        <ext uri="{3e2802c4-a4d2-4d8b-9148-e3be6c30e623}">
          <xlrd:rvb i="581"/>
        </ext>
      </extLst>
    </bk>
    <bk>
      <extLst>
        <ext uri="{3e2802c4-a4d2-4d8b-9148-e3be6c30e623}">
          <xlrd:rvb i="584"/>
        </ext>
      </extLst>
    </bk>
    <bk>
      <extLst>
        <ext uri="{3e2802c4-a4d2-4d8b-9148-e3be6c30e623}">
          <xlrd:rvb i="587"/>
        </ext>
      </extLst>
    </bk>
    <bk>
      <extLst>
        <ext uri="{3e2802c4-a4d2-4d8b-9148-e3be6c30e623}">
          <xlrd:rvb i="590"/>
        </ext>
      </extLst>
    </bk>
    <bk>
      <extLst>
        <ext uri="{3e2802c4-a4d2-4d8b-9148-e3be6c30e623}">
          <xlrd:rvb i="593"/>
        </ext>
      </extLst>
    </bk>
    <bk>
      <extLst>
        <ext uri="{3e2802c4-a4d2-4d8b-9148-e3be6c30e623}">
          <xlrd:rvb i="596"/>
        </ext>
      </extLst>
    </bk>
  </futureMetadata>
  <cellMetadata count="1">
    <bk>
      <rc t="1" v="0"/>
    </bk>
  </cellMetadata>
  <valueMetadata count="200">
    <bk>
      <rc t="2" v="0"/>
    </bk>
    <bk>
      <rc t="2" v="1"/>
    </bk>
    <bk>
      <rc t="2" v="2"/>
    </bk>
    <bk>
      <rc t="2" v="3"/>
    </bk>
    <bk>
      <rc t="2" v="4"/>
    </bk>
    <bk>
      <rc t="2" v="5"/>
    </bk>
    <bk>
      <rc t="2" v="6"/>
    </bk>
    <bk>
      <rc t="2" v="7"/>
    </bk>
    <bk>
      <rc t="2" v="8"/>
    </bk>
    <bk>
      <rc t="2" v="9"/>
    </bk>
    <bk>
      <rc t="2" v="10"/>
    </bk>
    <bk>
      <rc t="2" v="11"/>
    </bk>
    <bk>
      <rc t="2" v="12"/>
    </bk>
    <bk>
      <rc t="2" v="13"/>
    </bk>
    <bk>
      <rc t="2" v="14"/>
    </bk>
    <bk>
      <rc t="2" v="15"/>
    </bk>
    <bk>
      <rc t="2" v="16"/>
    </bk>
    <bk>
      <rc t="2" v="17"/>
    </bk>
    <bk>
      <rc t="2" v="18"/>
    </bk>
    <bk>
      <rc t="2" v="19"/>
    </bk>
    <bk>
      <rc t="2" v="20"/>
    </bk>
    <bk>
      <rc t="2" v="21"/>
    </bk>
    <bk>
      <rc t="2" v="22"/>
    </bk>
    <bk>
      <rc t="2" v="23"/>
    </bk>
    <bk>
      <rc t="2" v="24"/>
    </bk>
    <bk>
      <rc t="2" v="25"/>
    </bk>
    <bk>
      <rc t="2" v="26"/>
    </bk>
    <bk>
      <rc t="2" v="27"/>
    </bk>
    <bk>
      <rc t="2" v="28"/>
    </bk>
    <bk>
      <rc t="2" v="29"/>
    </bk>
    <bk>
      <rc t="2" v="30"/>
    </bk>
    <bk>
      <rc t="2" v="31"/>
    </bk>
    <bk>
      <rc t="2" v="32"/>
    </bk>
    <bk>
      <rc t="2" v="33"/>
    </bk>
    <bk>
      <rc t="2" v="34"/>
    </bk>
    <bk>
      <rc t="2" v="35"/>
    </bk>
    <bk>
      <rc t="2" v="36"/>
    </bk>
    <bk>
      <rc t="2" v="37"/>
    </bk>
    <bk>
      <rc t="2" v="38"/>
    </bk>
    <bk>
      <rc t="2" v="39"/>
    </bk>
    <bk>
      <rc t="2" v="40"/>
    </bk>
    <bk>
      <rc t="2" v="41"/>
    </bk>
    <bk>
      <rc t="2" v="42"/>
    </bk>
    <bk>
      <rc t="2" v="43"/>
    </bk>
    <bk>
      <rc t="2" v="44"/>
    </bk>
    <bk>
      <rc t="2" v="45"/>
    </bk>
    <bk>
      <rc t="2" v="46"/>
    </bk>
    <bk>
      <rc t="2" v="47"/>
    </bk>
    <bk>
      <rc t="2" v="48"/>
    </bk>
    <bk>
      <rc t="2" v="49"/>
    </bk>
    <bk>
      <rc t="2" v="50"/>
    </bk>
    <bk>
      <rc t="2" v="51"/>
    </bk>
    <bk>
      <rc t="2" v="52"/>
    </bk>
    <bk>
      <rc t="2" v="53"/>
    </bk>
    <bk>
      <rc t="2" v="54"/>
    </bk>
    <bk>
      <rc t="2" v="55"/>
    </bk>
    <bk>
      <rc t="2" v="56"/>
    </bk>
    <bk>
      <rc t="2" v="57"/>
    </bk>
    <bk>
      <rc t="2" v="58"/>
    </bk>
    <bk>
      <rc t="2" v="59"/>
    </bk>
    <bk>
      <rc t="2" v="60"/>
    </bk>
    <bk>
      <rc t="2" v="61"/>
    </bk>
    <bk>
      <rc t="2" v="62"/>
    </bk>
    <bk>
      <rc t="2" v="63"/>
    </bk>
    <bk>
      <rc t="2" v="64"/>
    </bk>
    <bk>
      <rc t="2" v="65"/>
    </bk>
    <bk>
      <rc t="2" v="66"/>
    </bk>
    <bk>
      <rc t="2" v="67"/>
    </bk>
    <bk>
      <rc t="2" v="68"/>
    </bk>
    <bk>
      <rc t="2" v="69"/>
    </bk>
    <bk>
      <rc t="2" v="70"/>
    </bk>
    <bk>
      <rc t="2" v="71"/>
    </bk>
    <bk>
      <rc t="2" v="72"/>
    </bk>
    <bk>
      <rc t="2" v="73"/>
    </bk>
    <bk>
      <rc t="2" v="74"/>
    </bk>
    <bk>
      <rc t="2" v="75"/>
    </bk>
    <bk>
      <rc t="2" v="76"/>
    </bk>
    <bk>
      <rc t="2" v="77"/>
    </bk>
    <bk>
      <rc t="2" v="78"/>
    </bk>
    <bk>
      <rc t="2" v="79"/>
    </bk>
    <bk>
      <rc t="2" v="80"/>
    </bk>
    <bk>
      <rc t="2" v="81"/>
    </bk>
    <bk>
      <rc t="2" v="82"/>
    </bk>
    <bk>
      <rc t="2" v="83"/>
    </bk>
    <bk>
      <rc t="2" v="84"/>
    </bk>
    <bk>
      <rc t="2" v="85"/>
    </bk>
    <bk>
      <rc t="2" v="86"/>
    </bk>
    <bk>
      <rc t="2" v="87"/>
    </bk>
    <bk>
      <rc t="2" v="88"/>
    </bk>
    <bk>
      <rc t="2" v="89"/>
    </bk>
    <bk>
      <rc t="2" v="90"/>
    </bk>
    <bk>
      <rc t="2" v="91"/>
    </bk>
    <bk>
      <rc t="2" v="92"/>
    </bk>
    <bk>
      <rc t="2" v="93"/>
    </bk>
    <bk>
      <rc t="2" v="94"/>
    </bk>
    <bk>
      <rc t="2" v="95"/>
    </bk>
    <bk>
      <rc t="2" v="96"/>
    </bk>
    <bk>
      <rc t="2" v="97"/>
    </bk>
    <bk>
      <rc t="2" v="98"/>
    </bk>
    <bk>
      <rc t="2" v="99"/>
    </bk>
    <bk>
      <rc t="2" v="100"/>
    </bk>
    <bk>
      <rc t="2" v="101"/>
    </bk>
    <bk>
      <rc t="2" v="102"/>
    </bk>
    <bk>
      <rc t="2" v="103"/>
    </bk>
    <bk>
      <rc t="2" v="104"/>
    </bk>
    <bk>
      <rc t="2" v="105"/>
    </bk>
    <bk>
      <rc t="2" v="106"/>
    </bk>
    <bk>
      <rc t="2" v="107"/>
    </bk>
    <bk>
      <rc t="2" v="108"/>
    </bk>
    <bk>
      <rc t="2" v="109"/>
    </bk>
    <bk>
      <rc t="2" v="110"/>
    </bk>
    <bk>
      <rc t="2" v="111"/>
    </bk>
    <bk>
      <rc t="2" v="112"/>
    </bk>
    <bk>
      <rc t="2" v="113"/>
    </bk>
    <bk>
      <rc t="2" v="114"/>
    </bk>
    <bk>
      <rc t="2" v="115"/>
    </bk>
    <bk>
      <rc t="2" v="116"/>
    </bk>
    <bk>
      <rc t="2" v="117"/>
    </bk>
    <bk>
      <rc t="2" v="118"/>
    </bk>
    <bk>
      <rc t="2" v="119"/>
    </bk>
    <bk>
      <rc t="2" v="120"/>
    </bk>
    <bk>
      <rc t="2" v="121"/>
    </bk>
    <bk>
      <rc t="2" v="122"/>
    </bk>
    <bk>
      <rc t="2" v="123"/>
    </bk>
    <bk>
      <rc t="2" v="124"/>
    </bk>
    <bk>
      <rc t="2" v="125"/>
    </bk>
    <bk>
      <rc t="2" v="126"/>
    </bk>
    <bk>
      <rc t="2" v="127"/>
    </bk>
    <bk>
      <rc t="2" v="128"/>
    </bk>
    <bk>
      <rc t="2" v="129"/>
    </bk>
    <bk>
      <rc t="2" v="130"/>
    </bk>
    <bk>
      <rc t="2" v="131"/>
    </bk>
    <bk>
      <rc t="2" v="132"/>
    </bk>
    <bk>
      <rc t="2" v="133"/>
    </bk>
    <bk>
      <rc t="2" v="134"/>
    </bk>
    <bk>
      <rc t="2" v="135"/>
    </bk>
    <bk>
      <rc t="2" v="136"/>
    </bk>
    <bk>
      <rc t="2" v="137"/>
    </bk>
    <bk>
      <rc t="2" v="138"/>
    </bk>
    <bk>
      <rc t="2" v="139"/>
    </bk>
    <bk>
      <rc t="2" v="140"/>
    </bk>
    <bk>
      <rc t="2" v="141"/>
    </bk>
    <bk>
      <rc t="2" v="142"/>
    </bk>
    <bk>
      <rc t="2" v="143"/>
    </bk>
    <bk>
      <rc t="2" v="144"/>
    </bk>
    <bk>
      <rc t="2" v="145"/>
    </bk>
    <bk>
      <rc t="2" v="146"/>
    </bk>
    <bk>
      <rc t="2" v="147"/>
    </bk>
    <bk>
      <rc t="2" v="148"/>
    </bk>
    <bk>
      <rc t="2" v="149"/>
    </bk>
    <bk>
      <rc t="2" v="150"/>
    </bk>
    <bk>
      <rc t="2" v="151"/>
    </bk>
    <bk>
      <rc t="2" v="152"/>
    </bk>
    <bk>
      <rc t="2" v="153"/>
    </bk>
    <bk>
      <rc t="2" v="154"/>
    </bk>
    <bk>
      <rc t="2" v="155"/>
    </bk>
    <bk>
      <rc t="2" v="156"/>
    </bk>
    <bk>
      <rc t="2" v="157"/>
    </bk>
    <bk>
      <rc t="2" v="158"/>
    </bk>
    <bk>
      <rc t="2" v="159"/>
    </bk>
    <bk>
      <rc t="2" v="160"/>
    </bk>
    <bk>
      <rc t="2" v="161"/>
    </bk>
    <bk>
      <rc t="2" v="162"/>
    </bk>
    <bk>
      <rc t="2" v="163"/>
    </bk>
    <bk>
      <rc t="2" v="164"/>
    </bk>
    <bk>
      <rc t="2" v="165"/>
    </bk>
    <bk>
      <rc t="2" v="166"/>
    </bk>
    <bk>
      <rc t="2" v="167"/>
    </bk>
    <bk>
      <rc t="2" v="168"/>
    </bk>
    <bk>
      <rc t="2" v="169"/>
    </bk>
    <bk>
      <rc t="2" v="170"/>
    </bk>
    <bk>
      <rc t="2" v="171"/>
    </bk>
    <bk>
      <rc t="2" v="172"/>
    </bk>
    <bk>
      <rc t="2" v="173"/>
    </bk>
    <bk>
      <rc t="2" v="174"/>
    </bk>
    <bk>
      <rc t="2" v="175"/>
    </bk>
    <bk>
      <rc t="2" v="176"/>
    </bk>
    <bk>
      <rc t="2" v="177"/>
    </bk>
    <bk>
      <rc t="2" v="178"/>
    </bk>
    <bk>
      <rc t="2" v="179"/>
    </bk>
    <bk>
      <rc t="2" v="180"/>
    </bk>
    <bk>
      <rc t="2" v="181"/>
    </bk>
    <bk>
      <rc t="2" v="182"/>
    </bk>
    <bk>
      <rc t="2" v="183"/>
    </bk>
    <bk>
      <rc t="2" v="184"/>
    </bk>
    <bk>
      <rc t="2" v="185"/>
    </bk>
    <bk>
      <rc t="2" v="186"/>
    </bk>
    <bk>
      <rc t="2" v="187"/>
    </bk>
    <bk>
      <rc t="2" v="188"/>
    </bk>
    <bk>
      <rc t="2" v="189"/>
    </bk>
    <bk>
      <rc t="2" v="190"/>
    </bk>
    <bk>
      <rc t="2" v="191"/>
    </bk>
    <bk>
      <rc t="2" v="192"/>
    </bk>
    <bk>
      <rc t="2" v="193"/>
    </bk>
    <bk>
      <rc t="2" v="194"/>
    </bk>
    <bk>
      <rc t="2" v="195"/>
    </bk>
    <bk>
      <rc t="2" v="196"/>
    </bk>
    <bk>
      <rc t="2" v="197"/>
    </bk>
    <bk>
      <rc t="2" v="198"/>
    </bk>
    <bk>
      <rc t="2" v="199"/>
    </bk>
  </valueMetadata>
</metadata>
</file>

<file path=xl/sharedStrings.xml><?xml version="1.0" encoding="utf-8"?>
<sst xmlns="http://schemas.openxmlformats.org/spreadsheetml/2006/main" count="300" uniqueCount="206">
  <si>
    <t>TKT</t>
  </si>
  <si>
    <t>ONEQ</t>
  </si>
  <si>
    <t>QQQ</t>
  </si>
  <si>
    <t>IWM</t>
  </si>
  <si>
    <t>IWC</t>
  </si>
  <si>
    <t>SPY</t>
  </si>
  <si>
    <t>DIA</t>
  </si>
  <si>
    <t>MDY</t>
  </si>
  <si>
    <t>XLK</t>
  </si>
  <si>
    <t>XLRE</t>
  </si>
  <si>
    <t>XLV</t>
  </si>
  <si>
    <t>XLF</t>
  </si>
  <si>
    <t>XLU</t>
  </si>
  <si>
    <t>XLE</t>
  </si>
  <si>
    <t>XLC</t>
  </si>
  <si>
    <t>XLP</t>
  </si>
  <si>
    <t>XLB</t>
  </si>
  <si>
    <t>XLY</t>
  </si>
  <si>
    <t>XLI</t>
  </si>
  <si>
    <t>ESPO</t>
  </si>
  <si>
    <t>GDX</t>
  </si>
  <si>
    <t>PBW</t>
  </si>
  <si>
    <t>SOCL</t>
  </si>
  <si>
    <t>SKYY</t>
  </si>
  <si>
    <t>GGME</t>
  </si>
  <si>
    <t>SMH</t>
  </si>
  <si>
    <t>MSOS</t>
  </si>
  <si>
    <t>XSW</t>
  </si>
  <si>
    <t>IAI</t>
  </si>
  <si>
    <t>IBB</t>
  </si>
  <si>
    <t>OIH</t>
  </si>
  <si>
    <t>XRT</t>
  </si>
  <si>
    <t>FDN</t>
  </si>
  <si>
    <t>JETS</t>
  </si>
  <si>
    <t>KRE</t>
  </si>
  <si>
    <t>IHI</t>
  </si>
  <si>
    <t>IHF</t>
  </si>
  <si>
    <t>TAN</t>
  </si>
  <si>
    <t>KBE</t>
  </si>
  <si>
    <t>IYM</t>
  </si>
  <si>
    <t>XOP</t>
  </si>
  <si>
    <t>KIE</t>
  </si>
  <si>
    <t>BOTZ</t>
  </si>
  <si>
    <t>PJP</t>
  </si>
  <si>
    <t>IFRA</t>
  </si>
  <si>
    <t>BETZ</t>
  </si>
  <si>
    <t>ITA</t>
  </si>
  <si>
    <t>PEJ</t>
  </si>
  <si>
    <t>XHB</t>
  </si>
  <si>
    <t>IYT</t>
  </si>
  <si>
    <t>PBJ</t>
  </si>
  <si>
    <t>IWW</t>
  </si>
  <si>
    <t>SPHB</t>
  </si>
  <si>
    <t>SPMV</t>
  </si>
  <si>
    <t>QUAL</t>
  </si>
  <si>
    <t>SPGP</t>
  </si>
  <si>
    <t>SPYD</t>
  </si>
  <si>
    <t>SPMO</t>
  </si>
  <si>
    <t>RPG</t>
  </si>
  <si>
    <t>SPHD</t>
  </si>
  <si>
    <t>SPYV</t>
  </si>
  <si>
    <t>RWL</t>
  </si>
  <si>
    <t>RSP</t>
  </si>
  <si>
    <t>SPLV</t>
  </si>
  <si>
    <t>RPV</t>
  </si>
  <si>
    <t>SPVU</t>
  </si>
  <si>
    <t>SPVM</t>
  </si>
  <si>
    <t>NOBL</t>
  </si>
  <si>
    <t>PKW</t>
  </si>
  <si>
    <t>TSLA</t>
  </si>
  <si>
    <t>GOOG</t>
  </si>
  <si>
    <t>AAPL</t>
  </si>
  <si>
    <t>NVDA</t>
  </si>
  <si>
    <t>MSFT</t>
  </si>
  <si>
    <t>META</t>
  </si>
  <si>
    <t>AMZN</t>
  </si>
  <si>
    <t>IVW</t>
  </si>
  <si>
    <t>IVE</t>
  </si>
  <si>
    <t>IJS</t>
  </si>
  <si>
    <t>IJJ</t>
  </si>
  <si>
    <t>IJT</t>
  </si>
  <si>
    <t>IJK</t>
  </si>
  <si>
    <t>EDC</t>
  </si>
  <si>
    <t>TQQQ</t>
  </si>
  <si>
    <t>TNA</t>
  </si>
  <si>
    <t>SPXL</t>
  </si>
  <si>
    <t>UDOW</t>
  </si>
  <si>
    <t>MIDU</t>
  </si>
  <si>
    <t>IPO</t>
  </si>
  <si>
    <t>PSP</t>
  </si>
  <si>
    <t>GURU</t>
  </si>
  <si>
    <t>CSD</t>
  </si>
  <si>
    <t>ZROZ</t>
  </si>
  <si>
    <t>TLT</t>
  </si>
  <si>
    <t>TLH</t>
  </si>
  <si>
    <t>IGOV</t>
  </si>
  <si>
    <t>EMB</t>
  </si>
  <si>
    <t>LQD</t>
  </si>
  <si>
    <t>PFF</t>
  </si>
  <si>
    <t>IEF</t>
  </si>
  <si>
    <t>GOVT</t>
  </si>
  <si>
    <t>AGG</t>
  </si>
  <si>
    <t>TIP</t>
  </si>
  <si>
    <t>HYG</t>
  </si>
  <si>
    <t>IEI</t>
  </si>
  <si>
    <t>SHY</t>
  </si>
  <si>
    <t>BNDX</t>
  </si>
  <si>
    <t>BKLN</t>
  </si>
  <si>
    <t>MUB</t>
  </si>
  <si>
    <t>UNG</t>
  </si>
  <si>
    <t>SLV</t>
  </si>
  <si>
    <t>PPLT</t>
  </si>
  <si>
    <t>CPER</t>
  </si>
  <si>
    <t>DBB</t>
  </si>
  <si>
    <t>URA</t>
  </si>
  <si>
    <t>XME</t>
  </si>
  <si>
    <t>UGA</t>
  </si>
  <si>
    <t>PALL</t>
  </si>
  <si>
    <t>WOOD</t>
  </si>
  <si>
    <t>USO</t>
  </si>
  <si>
    <t>LIT</t>
  </si>
  <si>
    <t>DBC</t>
  </si>
  <si>
    <t>NANR</t>
  </si>
  <si>
    <t>MOO</t>
  </si>
  <si>
    <t>SOYB</t>
  </si>
  <si>
    <t>VEGI</t>
  </si>
  <si>
    <t>WEAT</t>
  </si>
  <si>
    <t>CORN</t>
  </si>
  <si>
    <t>DBA</t>
  </si>
  <si>
    <t>CANE</t>
  </si>
  <si>
    <t>FXI</t>
  </si>
  <si>
    <t>TUR</t>
  </si>
  <si>
    <t>EWH</t>
  </si>
  <si>
    <t>EWP</t>
  </si>
  <si>
    <t>INDA</t>
  </si>
  <si>
    <t>VNM</t>
  </si>
  <si>
    <t>EWA</t>
  </si>
  <si>
    <t>EWT</t>
  </si>
  <si>
    <t>EEM</t>
  </si>
  <si>
    <t>EWI</t>
  </si>
  <si>
    <t>EWS</t>
  </si>
  <si>
    <t>EWL</t>
  </si>
  <si>
    <t>EWN</t>
  </si>
  <si>
    <t>FM</t>
  </si>
  <si>
    <t>VEU</t>
  </si>
  <si>
    <t>SPEU</t>
  </si>
  <si>
    <t>EWU</t>
  </si>
  <si>
    <t>EWJ</t>
  </si>
  <si>
    <t>EWC</t>
  </si>
  <si>
    <t>EWY</t>
  </si>
  <si>
    <t>EWG</t>
  </si>
  <si>
    <t>EWW</t>
  </si>
  <si>
    <t>EWQ</t>
  </si>
  <si>
    <t>EWZ</t>
  </si>
  <si>
    <t>EIS</t>
  </si>
  <si>
    <t>KSA</t>
  </si>
  <si>
    <t>UAE</t>
  </si>
  <si>
    <t>GLD</t>
  </si>
  <si>
    <t>FXB</t>
  </si>
  <si>
    <t>CEW</t>
  </si>
  <si>
    <t>FXA</t>
  </si>
  <si>
    <t>FXE</t>
  </si>
  <si>
    <t>FXC</t>
  </si>
  <si>
    <t>FXY</t>
  </si>
  <si>
    <t>FXF</t>
  </si>
  <si>
    <t>UUP</t>
  </si>
  <si>
    <t>BOAT</t>
  </si>
  <si>
    <t>RSPU</t>
  </si>
  <si>
    <t>RSPG</t>
  </si>
  <si>
    <t>RSPM</t>
  </si>
  <si>
    <t>RSPN</t>
  </si>
  <si>
    <t>RSPT</t>
  </si>
  <si>
    <t>RSPF</t>
  </si>
  <si>
    <t>RSPC</t>
  </si>
  <si>
    <t>RSPH</t>
  </si>
  <si>
    <t>RSPD</t>
  </si>
  <si>
    <t>RSPS</t>
  </si>
  <si>
    <t>RSPR</t>
  </si>
  <si>
    <t>NLR</t>
  </si>
  <si>
    <t>ETF</t>
  </si>
  <si>
    <t>VIXY</t>
  </si>
  <si>
    <t>UVXY</t>
  </si>
  <si>
    <t>UVIX</t>
  </si>
  <si>
    <t>SPXS</t>
  </si>
  <si>
    <t>TZA</t>
  </si>
  <si>
    <t>SQQQ</t>
  </si>
  <si>
    <t>FNGD</t>
  </si>
  <si>
    <t>Price</t>
  </si>
  <si>
    <t>Change</t>
  </si>
  <si>
    <t>TKT_DATA</t>
  </si>
  <si>
    <t>Index</t>
  </si>
  <si>
    <t>IBIT</t>
  </si>
  <si>
    <t>EPI</t>
  </si>
  <si>
    <t>FEZ</t>
  </si>
  <si>
    <t>MAGX</t>
  </si>
  <si>
    <t>VIX</t>
  </si>
  <si>
    <t>DXYZ</t>
  </si>
  <si>
    <t>VXF</t>
  </si>
  <si>
    <t>QQQJ</t>
  </si>
  <si>
    <t>ETHA</t>
  </si>
  <si>
    <t>QTUM</t>
  </si>
  <si>
    <t>NUKZ</t>
  </si>
  <si>
    <t>DRAM</t>
  </si>
  <si>
    <t>CHAT</t>
  </si>
  <si>
    <t>SOXX</t>
  </si>
  <si>
    <t>BITW</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</si>
</sst>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64" formatCode="_([$$-409]* #,##0.00_);_([$$-409]* \(#,##0.00\);_([$$-409]* &quot;-&quot;??_);_(@_)"/>
  </numFmts>
  <fonts count="2" x14ac:knownFonts="1">
    <font>
      <sz val="11"/>
      <color theme="1"/>
      <name val="Aptos Narrow"/>
      <family val="2"/>
      <scheme val="minor"/>
    </font>
    <font>
      <b/>
      <sz val="11"/>
      <color theme="1"/>
      <name val="Aptos Narrow"/>
      <family val="2"/>
      <scheme val="minor"/>
    </font>
  </fonts>
  <fills count="2">
    <fill>
      <patternFill patternType="none"/>
    </fill>
    <fill>
      <patternFill patternType="gray125"/>
    </fill>
  </fills>
  <borders count="1">
    <border>
      <left/>
      <right/>
      <top/>
      <bottom/>
      <diagonal/>
    </border>
  </borders>
  <cellStyleXfs count="1">
    <xf numFmtId="0" fontId="0" fillId="0" borderId="0"/>
  </cellStyleXfs>
  <cellXfs count="4">
    <xf numFmtId="0" fontId="0" fillId="0" borderId="0" xfId="0"/>
    <xf numFmtId="164" fontId="0" fillId="0" borderId="0" xfId="0" applyNumberFormat="1"/>
    <xf numFmtId="10" fontId="0" fillId="0" borderId="0" xfId="0" applyNumberFormat="1"/>
    <xf numFmtId="0" fontId="1" fillId="0" borderId="0" xfId="0" applyFont="1"/>
  </cellXfs>
  <cellStyles count="1">
    <cellStyle name="Normal" xfId="0" builtinId="0"/>
  </cellStyles>
  <dxfs count="40">
    <dxf>
      <fill>
        <patternFill>
          <bgColor rgb="FFFF0000"/>
        </patternFill>
      </fill>
    </dxf>
    <dxf>
      <fill>
        <patternFill>
          <bgColor rgb="FF92D050"/>
        </patternFill>
      </fill>
    </dxf>
    <dxf>
      <fill>
        <patternFill>
          <bgColor rgb="FFFF0000"/>
        </patternFill>
      </fill>
    </dxf>
    <dxf>
      <fill>
        <patternFill>
          <bgColor rgb="FF92D050"/>
        </patternFill>
      </fill>
    </dxf>
    <dxf>
      <fill>
        <patternFill>
          <bgColor rgb="FFFF0000"/>
        </patternFill>
      </fill>
    </dxf>
    <dxf>
      <fill>
        <patternFill>
          <bgColor rgb="FF92D050"/>
        </patternFill>
      </fill>
    </dxf>
    <dxf>
      <fill>
        <patternFill>
          <bgColor rgb="FFFF0000"/>
        </patternFill>
      </fill>
    </dxf>
    <dxf>
      <fill>
        <patternFill>
          <bgColor rgb="FF92D050"/>
        </patternFill>
      </fill>
    </dxf>
    <dxf>
      <fill>
        <patternFill>
          <bgColor rgb="FFFF0000"/>
        </patternFill>
      </fill>
    </dxf>
    <dxf>
      <fill>
        <patternFill>
          <bgColor rgb="FF92D050"/>
        </patternFill>
      </fill>
    </dxf>
    <dxf>
      <fill>
        <patternFill>
          <bgColor rgb="FFFF0000"/>
        </patternFill>
      </fill>
    </dxf>
    <dxf>
      <fill>
        <patternFill>
          <bgColor rgb="FF92D050"/>
        </patternFill>
      </fill>
    </dxf>
    <dxf>
      <fill>
        <patternFill>
          <bgColor rgb="FFFF0000"/>
        </patternFill>
      </fill>
    </dxf>
    <dxf>
      <fill>
        <patternFill>
          <bgColor rgb="FF92D050"/>
        </patternFill>
      </fill>
    </dxf>
    <dxf>
      <fill>
        <patternFill>
          <bgColor rgb="FFFF0000"/>
        </patternFill>
      </fill>
    </dxf>
    <dxf>
      <fill>
        <patternFill>
          <bgColor rgb="FF92D050"/>
        </patternFill>
      </fill>
    </dxf>
    <dxf>
      <fill>
        <patternFill>
          <bgColor rgb="FFFF0000"/>
        </patternFill>
      </fill>
    </dxf>
    <dxf>
      <fill>
        <patternFill>
          <bgColor rgb="FF92D050"/>
        </patternFill>
      </fill>
    </dxf>
    <dxf>
      <fill>
        <patternFill>
          <bgColor rgb="FFFF0000"/>
        </patternFill>
      </fill>
    </dxf>
    <dxf>
      <fill>
        <patternFill>
          <bgColor rgb="FF92D050"/>
        </patternFill>
      </fill>
    </dxf>
    <dxf>
      <fill>
        <patternFill>
          <bgColor rgb="FFFF0000"/>
        </patternFill>
      </fill>
    </dxf>
    <dxf>
      <fill>
        <patternFill>
          <bgColor rgb="FF92D050"/>
        </patternFill>
      </fill>
    </dxf>
    <dxf>
      <fill>
        <patternFill>
          <bgColor rgb="FFFF0000"/>
        </patternFill>
      </fill>
    </dxf>
    <dxf>
      <fill>
        <patternFill>
          <bgColor rgb="FF92D050"/>
        </patternFill>
      </fill>
    </dxf>
    <dxf>
      <fill>
        <patternFill>
          <bgColor rgb="FFFF0000"/>
        </patternFill>
      </fill>
    </dxf>
    <dxf>
      <fill>
        <patternFill>
          <bgColor rgb="FF92D050"/>
        </patternFill>
      </fill>
    </dxf>
    <dxf>
      <fill>
        <patternFill>
          <bgColor rgb="FFFF0000"/>
        </patternFill>
      </fill>
    </dxf>
    <dxf>
      <fill>
        <patternFill>
          <bgColor rgb="FF92D050"/>
        </patternFill>
      </fill>
    </dxf>
    <dxf>
      <fill>
        <patternFill>
          <bgColor rgb="FFFF0000"/>
        </patternFill>
      </fill>
    </dxf>
    <dxf>
      <fill>
        <patternFill>
          <bgColor rgb="FF92D050"/>
        </patternFill>
      </fill>
    </dxf>
    <dxf>
      <fill>
        <patternFill>
          <bgColor rgb="FFFF0000"/>
        </patternFill>
      </fill>
    </dxf>
    <dxf>
      <fill>
        <patternFill>
          <bgColor rgb="FF92D050"/>
        </patternFill>
      </fill>
    </dxf>
    <dxf>
      <fill>
        <patternFill>
          <bgColor rgb="FFFF0000"/>
        </patternFill>
      </fill>
    </dxf>
    <dxf>
      <fill>
        <patternFill>
          <bgColor rgb="FF92D050"/>
        </patternFill>
      </fill>
    </dxf>
    <dxf>
      <fill>
        <patternFill>
          <bgColor rgb="FFFF0000"/>
        </patternFill>
      </fill>
    </dxf>
    <dxf>
      <fill>
        <patternFill>
          <bgColor rgb="FF92D050"/>
        </patternFill>
      </fill>
    </dxf>
    <dxf>
      <fill>
        <patternFill>
          <bgColor rgb="FFFF0000"/>
        </patternFill>
      </fill>
    </dxf>
    <dxf>
      <fill>
        <patternFill>
          <bgColor rgb="FF92D050"/>
        </patternFill>
      </fill>
    </dxf>
    <dxf>
      <fill>
        <patternFill>
          <bgColor rgb="FFFF0000"/>
        </patternFill>
      </fill>
    </dxf>
    <dxf>
      <fill>
        <patternFill>
          <bgColor rgb="FF92D050"/>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worksheet" Target="worksheets/sheet18.xml"/><Relationship Id="rId26" Type="http://schemas.microsoft.com/office/2017/06/relationships/rdRichValueStructure" Target="richData/rdrichvaluestructure.xml"/><Relationship Id="rId3" Type="http://schemas.openxmlformats.org/officeDocument/2006/relationships/worksheet" Target="worksheets/sheet3.xml"/><Relationship Id="rId21" Type="http://schemas.openxmlformats.org/officeDocument/2006/relationships/theme" Target="theme/theme1.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worksheet" Target="worksheets/sheet17.xml"/><Relationship Id="rId25" Type="http://schemas.microsoft.com/office/2017/06/relationships/rdRichValue" Target="richData/rdrichvalue.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worksheet" Target="worksheets/sheet20.xml"/><Relationship Id="rId29" Type="http://schemas.microsoft.com/office/2017/06/relationships/rdSupportingPropertyBag" Target="richData/rdsupportingpropertybag.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sheetMetadata" Target="metadata.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sharedStrings" Target="sharedStrings.xml"/><Relationship Id="rId28" Type="http://schemas.microsoft.com/office/2017/06/relationships/rdSupportingPropertyBagStructure" Target="richData/rdsupportingpropertybagstructure.xml"/><Relationship Id="rId10" Type="http://schemas.openxmlformats.org/officeDocument/2006/relationships/worksheet" Target="worksheets/sheet10.xml"/><Relationship Id="rId19" Type="http://schemas.openxmlformats.org/officeDocument/2006/relationships/worksheet" Target="worksheets/sheet19.xml"/><Relationship Id="rId31" Type="http://schemas.openxmlformats.org/officeDocument/2006/relationships/calcChain" Target="calcChain.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styles" Target="styles.xml"/><Relationship Id="rId27" Type="http://schemas.microsoft.com/office/2017/06/relationships/richStyles" Target="richData/richStyles.xml"/><Relationship Id="rId30" Type="http://schemas.microsoft.com/office/2017/06/relationships/rdRichValueTypes" Target="richData/rdRichValueTypes.xml"/></Relationships>
</file>

<file path=xl/richData/rdRichValueTypes.xml><?xml version="1.0" encoding="utf-8"?>
<rvTypesInfo xmlns="http://schemas.microsoft.com/office/spreadsheetml/2017/richdata2" xmlns:mc="http://schemas.openxmlformats.org/markup-compatibility/2006" xmlns:x="http://schemas.openxmlformats.org/spreadsheetml/2006/main" mc:Ignorable="x">
  <global>
    <keyFlags>
      <key name="_Self">
        <flag name="ExcludeFromFile" value="1"/>
        <flag name="ExcludeFromCalcComparison" value="1"/>
      </key>
      <key name="_DisplayString">
        <flag name="ExcludeFromCalcComparison" value="1"/>
      </key>
      <key name="_Flags">
        <flag name="ExcludeFromCalcComparison" value="1"/>
      </key>
      <key name="_Format">
        <flag name="ExcludeFromCalcComparison" value="1"/>
      </key>
      <key name="_SubLabel">
        <flag name="ExcludeFromCalcComparison" value="1"/>
      </key>
      <key name="_Attribution">
        <flag name="ExcludeFromCalcComparison" value="1"/>
      </key>
      <key name="_Icon">
        <flag name="ExcludeFromCalcComparison" value="1"/>
      </key>
      <key name="_Display">
        <flag name="ExcludeFromCalcComparison" value="1"/>
      </key>
      <key name="_CanonicalPropertyNames">
        <flag name="ExcludeFromCalcComparison" value="1"/>
      </key>
      <key name="_ClassificationId">
        <flag name="ExcludeFromCalcComparison" value="1"/>
      </key>
    </keyFlags>
  </global>
  <types>
    <type name="_imageurl">
      <keyFlags>
        <key name="Blip Identifier">
          <flag name="ShowInCardView" value="0"/>
        </key>
      </keyFlags>
    </type>
    <type name="_linkedentity">
      <keyFlags>
        <key name="%cvi">
          <flag name="ShowInCardView" value="0"/>
          <flag name="ShowInDotNotation" value="0"/>
          <flag name="ShowInAutoComplete" value="0"/>
          <flag name="ExcludeFromCalcComparison" value="1"/>
        </key>
      </keyFlags>
    </type>
    <type name="_linkedentitycore">
      <keyFlags>
        <key name="%EntityServiceId">
          <flag name="ShowInCardView" value="0"/>
          <flag name="ShowInDotNotation" value="0"/>
          <flag name="ShowInAutoComplete" value="0"/>
        </key>
        <key name="%EntitySubDomainId">
          <flag name="ShowInCardView" value="0"/>
          <flag name="ShowInDotNotation" value="0"/>
          <flag name="ShowInAutoComplete" value="0"/>
        </key>
        <key name="%EntityCulture">
          <flag name="ShowInCardView" value="0"/>
          <flag name="ShowInDotNotation" value="0"/>
          <flag name="ShowInAutoComplete" value="0"/>
        </key>
        <key name="%EntityId">
          <flag name="ShowInCardView" value="0"/>
          <flag name="ShowInDotNotation" value="0"/>
          <flag name="ShowInAutoComplete" value="0"/>
        </key>
        <key name="%IsRefreshable">
          <flag name="ShowInCardView" value="0"/>
          <flag name="ShowInDotNotation" value="0"/>
          <flag name="ShowInAutoComplete" value="0"/>
          <flag name="ExcludeFromCalcComparison" value="1"/>
        </key>
        <key name="%ProviderInfo">
          <flag name="ShowInCardView" value="0"/>
          <flag name="ShowInDotNotation" value="0"/>
          <flag name="ShowInAutoComplete" value="0"/>
        </key>
        <key name="%DataProviderExternalLinkLogo">
          <flag name="ShowInCardView" value="0"/>
          <flag name="ShowInDotNotation" value="0"/>
          <flag name="ShowInAutoComplete" value="0"/>
        </key>
        <key name="%DataProviderExternalLink">
          <flag name="ShowInCardView" value="0"/>
          <flag name="ShowInDotNotation" value="0"/>
          <flag name="ShowInAutoComplete" value="0"/>
        </key>
        <key name="%OutdatedReason">
          <flag name="ShowInCardView" value="0"/>
          <flag name="ShowInDotNotation" value="0"/>
          <flag name="ShowInAutoComplete" value="0"/>
          <flag name="ExcludeFromCalcComparison" value="1"/>
        </key>
      </keyFlags>
    </type>
  </types>
</rvTypesInfo>
</file>

<file path=xl/richData/rdrichvalue.xml><?xml version="1.0" encoding="utf-8"?>
<rvData xmlns="http://schemas.microsoft.com/office/spreadsheetml/2017/richdata" count="597">
  <rv s="0">
    <v>https://www.bing.com/financeapi/forcetrigger?t=a23hqh&amp;q=ARCX%3aSPY&amp;form=skydnc</v>
    <v>Learn more on Bing</v>
  </rv>
  <rv s="1">
    <v>en-US</v>
    <v>a23hqh</v>
    <v>268435456</v>
    <v>1</v>
    <v>Powered by Refinitiv</v>
    <v>0</v>
    <v>State Street SPDR S&amp;P500 (ARCX:SPY)</v>
    <v>2</v>
    <v>3</v>
    <v>Finance</v>
    <v>4</v>
    <v>760.4</v>
    <v>619.29</v>
    <v>0.99880000000000002</v>
    <v>-1.2</v>
    <v>8.7589999999999993E-5</v>
    <v>-1.614E-3</v>
    <v>6.5000000000000002E-2</v>
    <v>USD</v>
    <v>NYSE Arca</v>
    <v>ARCX</v>
    <v>9.4499999999999998E-4</v>
    <v>748.73</v>
    <v>ETF</v>
    <v>46223.999997140621</v>
    <v>0</v>
    <v>741.51030000000003</v>
    <v>781188872106.76001</v>
    <v>State Street SPDR S&amp;P500</v>
    <v>747.06</v>
    <v>743.29</v>
    <v>742.09</v>
    <v>742.15499999999997</v>
    <v>SPY</v>
    <v>State Street SPDR S&amp;P500 (ARCX:SPY)</v>
    <v>50422324</v>
    <v>50491699</v>
  </rv>
  <rv s="2">
    <v>1</v>
  </rv>
  <rv s="0">
    <v>https://www.bing.com/financeapi/forcetrigger?t=a21mim&amp;q=XNAS%3aQQQ&amp;form=skydnc</v>
    <v>Learn more on Bing</v>
  </rv>
  <rv s="1">
    <v>en-US</v>
    <v>a21mim</v>
    <v>268435456</v>
    <v>1</v>
    <v>Powered by Refinitiv</v>
    <v>0</v>
    <v>Invesco QQQ Trust 1 (XNAS:QQQ)</v>
    <v>2</v>
    <v>3</v>
    <v>Finance</v>
    <v>4</v>
    <v>748.65</v>
    <v>551.67999999999995</v>
    <v>1.0059</v>
    <v>0.73</v>
    <v>-2.8729999999999999E-4</v>
    <v>1.0499999999999999E-3</v>
    <v>-0.2</v>
    <v>USD</v>
    <v>Nasdaq Stock Market</v>
    <v>XNAS</v>
    <v>1.8E-3</v>
    <v>705.8</v>
    <v>ETF</v>
    <v>46223.999955323437</v>
    <v>3</v>
    <v>695.51</v>
    <v>490103179941.65997</v>
    <v>Invesco QQQ Trust 1</v>
    <v>702.16</v>
    <v>695.33</v>
    <v>696.06</v>
    <v>695.86</v>
    <v>QQQ</v>
    <v>Invesco QQQ Trust 1 (XNAS:QQQ)</v>
    <v>29687558</v>
    <v>44118569</v>
  </rv>
  <rv s="2">
    <v>4</v>
  </rv>
  <rv s="0">
    <v>https://www.bing.com/financeapi/forcetrigger?t=a1r2c7&amp;q=ARCX%3aDIA&amp;form=skydnc</v>
    <v>Learn more on Bing</v>
  </rv>
  <rv s="1">
    <v>en-US</v>
    <v>a1r2c7</v>
    <v>268435456</v>
    <v>1</v>
    <v>Powered by Refinitiv</v>
    <v>0</v>
    <v>State St SPDR DJ Inds Av (ARCX:DIA)</v>
    <v>2</v>
    <v>3</v>
    <v>Finance</v>
    <v>4</v>
    <v>532.54</v>
    <v>433.4</v>
    <v>0.94969999999999999</v>
    <v>-2.87</v>
    <v>-5.7920000000000001E-5</v>
    <v>-5.5110000000000003E-3</v>
    <v>-0.03</v>
    <v>USD</v>
    <v>NYSE Arca</v>
    <v>ARCX</v>
    <v>1.6000000000000001E-3</v>
    <v>523.4</v>
    <v>ETF</v>
    <v>46224.000001110937</v>
    <v>6</v>
    <v>517.16</v>
    <v>44062827128.019997</v>
    <v>State St SPDR DJ Inds Av</v>
    <v>522.04</v>
    <v>520.80999999999995</v>
    <v>517.94000000000005</v>
    <v>517.91</v>
    <v>DIA</v>
    <v>State St SPDR DJ Inds Av (ARCX:DIA)</v>
    <v>2336645</v>
    <v>4030921</v>
  </rv>
  <rv s="2">
    <v>7</v>
  </rv>
  <rv s="0">
    <v>https://www.bing.com/financeapi/forcetrigger?t=a1vxfr&amp;q=ARCX%3aIWM&amp;form=skydnc</v>
    <v>Learn more on Bing</v>
  </rv>
  <rv s="1">
    <v>en-US</v>
    <v>a1vxfr</v>
    <v>268435456</v>
    <v>1</v>
    <v>Powered by Refinitiv</v>
    <v>0</v>
    <v>iShares:Russ 2000 ETF (ARCX:IWM)</v>
    <v>2</v>
    <v>3</v>
    <v>Finance</v>
    <v>4</v>
    <v>302.72000000000003</v>
    <v>212.34</v>
    <v>0.99939999999999996</v>
    <v>-1.73</v>
    <v>5.4739999999999997E-4</v>
    <v>-5.8840000000000003E-3</v>
    <v>0.16</v>
    <v>USD</v>
    <v>NYSE Arca</v>
    <v>ARCX</v>
    <v>1.9E-3</v>
    <v>295.99</v>
    <v>ETF</v>
    <v>46224.000001457811</v>
    <v>9</v>
    <v>292.18</v>
    <v>82970351735.729996</v>
    <v>iShares:Russ 2000 ETF</v>
    <v>295.01</v>
    <v>294.04000000000002</v>
    <v>292.31</v>
    <v>292.47000000000003</v>
    <v>IWM</v>
    <v>iShares:Russ 2000 ETF (ARCX:IWM)</v>
    <v>20539883</v>
    <v>25363246</v>
  </rv>
  <rv s="2">
    <v>10</v>
  </rv>
  <rv s="0">
    <v>https://www.bing.com/financeapi/forcetrigger?t=a1vbbh&amp;q=XNAS%3aIEF&amp;form=skydnc</v>
    <v>Learn more on Bing</v>
  </rv>
  <rv s="1">
    <v>en-US</v>
    <v>a1vbbh</v>
    <v>268435456</v>
    <v>1</v>
    <v>Powered by Refinitiv</v>
    <v>0</v>
    <v>iShares:7-10 Trs Bd (XNAS:IEF)</v>
    <v>2</v>
    <v>3</v>
    <v>Finance</v>
    <v>4</v>
    <v>98.045000000000002</v>
    <v>92.944999999999993</v>
    <v>1.2154</v>
    <v>-0.3</v>
    <v>4.2759999999999999E-4</v>
    <v>-3.1969999999999998E-3</v>
    <v>0.04</v>
    <v>USD</v>
    <v>Nasdaq Stock Market</v>
    <v>XNAS</v>
    <v>1.5E-3</v>
    <v>93.756100000000004</v>
    <v>ETF</v>
    <v>46223.999756712503</v>
    <v>12</v>
    <v>93.44</v>
    <v>47093365319.830002</v>
    <v>iShares:7-10 Trs Bd</v>
    <v>93.74</v>
    <v>93.84</v>
    <v>93.54</v>
    <v>93.58</v>
    <v>IEF</v>
    <v>iShares:7-10 Trs Bd (XNAS:IEF)</v>
    <v>3784797</v>
    <v>6389443</v>
  </rv>
  <rv s="2">
    <v>13</v>
  </rv>
  <rv s="3">
    <v>en-US</v>
    <v>cc5pdm</v>
    <v>268435456</v>
    <v>1</v>
    <v>Powered by Refinitiv</v>
    <v>5</v>
    <v>iShares Bitcoin Trust (XNAS:IBIT)</v>
    <v>6</v>
    <v>7</v>
    <v>Finance</v>
    <v>4</v>
    <v>71.819999999999993</v>
    <v>32.840000000000003</v>
    <v>0.54</v>
    <v>2.418E-3</v>
    <v>1.4856000000000001E-2</v>
    <v>8.9200000000000002E-2</v>
    <v>USD</v>
    <v>Nasdaq Stock Market</v>
    <v>XNAS</v>
    <v>2.5000000000000001E-3</v>
    <v>37.25</v>
    <v>ETF</v>
    <v>46223.999815485935</v>
    <v>36.244999999999997</v>
    <v>43234206493.970001</v>
    <v>iShares Bitcoin Trust</v>
    <v>36.53</v>
    <v>36.35</v>
    <v>36.89</v>
    <v>36.979199999999999</v>
    <v>IBIT</v>
    <v>iShares Bitcoin Trust (XNAS:IBIT)</v>
    <v>33229444</v>
    <v>44870585</v>
  </rv>
  <rv s="2">
    <v>15</v>
  </rv>
  <rv s="0">
    <v>https://www.bing.com/financeapi/forcetrigger?t=a253hw&amp;q=ARCX%3aUSO&amp;form=skydnc</v>
    <v>Learn more on Bing</v>
  </rv>
  <rv s="1">
    <v>en-US</v>
    <v>a253hw</v>
    <v>268435456</v>
    <v>1</v>
    <v>Powered by Refinitiv</v>
    <v>0</v>
    <v>United States Oil Fund (ARCX:USO)</v>
    <v>2</v>
    <v>3</v>
    <v>Finance</v>
    <v>4</v>
    <v>154.08000000000001</v>
    <v>65.984999999999999</v>
    <v>1.0495000000000001</v>
    <v>1.55</v>
    <v>2.2669999999999999E-3</v>
    <v>1.2503999999999999E-2</v>
    <v>0.28449999999999998</v>
    <v>USD</v>
    <v>NYSE Arca</v>
    <v>ARCX</v>
    <v>8.6E-3</v>
    <v>126.57</v>
    <v>ETF</v>
    <v>46223.99999001094</v>
    <v>17</v>
    <v>123.4401</v>
    <v>1880301166.4300001</v>
    <v>United States Oil Fund</v>
    <v>123.78</v>
    <v>123.96</v>
    <v>125.51</v>
    <v>125.7945</v>
    <v>USO</v>
    <v>United States Oil Fund (ARCX:USO)</v>
    <v>6696130</v>
    <v>6349433</v>
  </rv>
  <rv s="2">
    <v>18</v>
  </rv>
  <rv s="0">
    <v>https://www.bing.com/financeapi/forcetrigger?t=a1ssk2&amp;q=ARCX%3aFEZ&amp;form=skydnc</v>
    <v>Learn more on Bing</v>
  </rv>
  <rv s="1">
    <v>en-US</v>
    <v>a1ssk2</v>
    <v>268435456</v>
    <v>1</v>
    <v>Powered by Refinitiv</v>
    <v>0</v>
    <v>SS SPDR EU SX50 (ARCX:FEZ)</v>
    <v>2</v>
    <v>3</v>
    <v>Finance</v>
    <v>4</v>
    <v>70.520099999999999</v>
    <v>56.715000000000003</v>
    <v>1.087</v>
    <v>-0.54</v>
    <v>0</v>
    <v>-7.9740000000000002E-3</v>
    <v>0</v>
    <v>USD</v>
    <v>NYSE Arca</v>
    <v>ARCX</v>
    <v>2.8999999999999998E-3</v>
    <v>67.738</v>
    <v>ETF</v>
    <v>46224.000001642969</v>
    <v>20</v>
    <v>67.125</v>
    <v>4349350329.6800003</v>
    <v>SS SPDR EU SX50</v>
    <v>67.650000000000006</v>
    <v>67.72</v>
    <v>67.180000000000007</v>
    <v>67.180000000000007</v>
    <v>FEZ</v>
    <v>SS SPDR EU SX50 (ARCX:FEZ)</v>
    <v>440019</v>
    <v>1437610</v>
  </rv>
  <rv s="2">
    <v>21</v>
  </rv>
  <rv s="0">
    <v>https://www.bing.com/financeapi/forcetrigger?t=a1sfkr&amp;q=ARCX%3aEWJ&amp;form=skydnc</v>
    <v>Learn more on Bing</v>
  </rv>
  <rv s="1">
    <v>en-US</v>
    <v>a1sfkr</v>
    <v>268435456</v>
    <v>1</v>
    <v>Powered by Refinitiv</v>
    <v>0</v>
    <v>iShares:MSCI Japan (ARCX:EWJ)</v>
    <v>2</v>
    <v>3</v>
    <v>Finance</v>
    <v>4</v>
    <v>97.52</v>
    <v>72.3904</v>
    <v>0.84330000000000005</v>
    <v>-0.06</v>
    <v>5.5289999999999994E-4</v>
    <v>-6.6309999999999991E-4</v>
    <v>0.05</v>
    <v>USD</v>
    <v>NYSE Arca</v>
    <v>ARCX</v>
    <v>4.8999999999999998E-3</v>
    <v>91.204999999999998</v>
    <v>ETF</v>
    <v>46224.000001654691</v>
    <v>23</v>
    <v>90.375</v>
    <v>22312462834.02</v>
    <v>iShares:MSCI Japan</v>
    <v>90.88</v>
    <v>90.49</v>
    <v>90.43</v>
    <v>90.48</v>
    <v>EWJ</v>
    <v>iShares:MSCI Japan (ARCX:EWJ)</v>
    <v>3362686</v>
    <v>5596907</v>
  </rv>
  <rv s="2">
    <v>24</v>
  </rv>
  <rv s="0">
    <v>https://www.bing.com/financeapi/forcetrigger?t=a1s2ww&amp;q=ARCX%3aEPI&amp;form=skydnc</v>
    <v>Learn more on Bing</v>
  </rv>
  <rv s="1">
    <v>en-US</v>
    <v>a1s2ww</v>
    <v>268435456</v>
    <v>1</v>
    <v>Powered by Refinitiv</v>
    <v>0</v>
    <v>WisdomTree:India Earns (ARCX:EPI)</v>
    <v>2</v>
    <v>3</v>
    <v>Finance</v>
    <v>4</v>
    <v>47.2</v>
    <v>39.405000000000001</v>
    <v>0.90139999999999998</v>
    <v>-0.15</v>
    <v>0</v>
    <v>-3.5439999999999998E-3</v>
    <v>0</v>
    <v>USD</v>
    <v>NYSE Arca</v>
    <v>ARCX</v>
    <v>8.3999999999999995E-3</v>
    <v>42.454999999999998</v>
    <v>ETF</v>
    <v>46224.000001585155</v>
    <v>26</v>
    <v>42.15</v>
    <v>2123496650.4000001</v>
    <v>WisdomTree:India Earns</v>
    <v>42.45</v>
    <v>42.32</v>
    <v>42.17</v>
    <v>42.17</v>
    <v>EPI</v>
    <v>WisdomTree:India Earns (ARCX:EPI)</v>
    <v>429127</v>
    <v>396665</v>
  </rv>
  <rv s="2">
    <v>27</v>
  </rv>
  <rv s="0">
    <v>https://www.bing.com/financeapi/forcetrigger?t=a1tkf2&amp;q=ARCX%3aFXI&amp;form=skydnc</v>
    <v>Learn more on Bing</v>
  </rv>
  <rv s="1">
    <v>en-US</v>
    <v>a1tkf2</v>
    <v>268435456</v>
    <v>1</v>
    <v>Powered by Refinitiv</v>
    <v>0</v>
    <v>iShares:China Large Cp (ARCX:FXI)</v>
    <v>2</v>
    <v>3</v>
    <v>Finance</v>
    <v>4</v>
    <v>42</v>
    <v>31.19</v>
    <v>0.81950000000000001</v>
    <v>0.91</v>
    <v>4.2810000000000001E-3</v>
    <v>2.6663000000000003E-2</v>
    <v>0.15</v>
    <v>USD</v>
    <v>NYSE Arca</v>
    <v>ARCX</v>
    <v>7.3000000000000001E-3</v>
    <v>35.29</v>
    <v>ETF</v>
    <v>46224.000001642969</v>
    <v>29</v>
    <v>34.92</v>
    <v>4523697373.3599997</v>
    <v>iShares:China Large Cp</v>
    <v>35.01</v>
    <v>34.130000000000003</v>
    <v>35.04</v>
    <v>35.19</v>
    <v>FXI</v>
    <v>iShares:China Large Cp (ARCX:FXI)</v>
    <v>32981053</v>
    <v>27324176</v>
  </rv>
  <rv s="2">
    <v>30</v>
  </rv>
  <rv s="0">
    <v>https://www.bing.com/financeapi/forcetrigger?t=a1sezr&amp;q=ARCX%3aEWC&amp;form=skydnc</v>
    <v>Learn more on Bing</v>
  </rv>
  <rv s="1">
    <v>en-US</v>
    <v>a1sezr</v>
    <v>268435456</v>
    <v>1</v>
    <v>Powered by Refinitiv</v>
    <v>0</v>
    <v>iShares:MSCI Canada (ARCX:EWC)</v>
    <v>2</v>
    <v>3</v>
    <v>Finance</v>
    <v>4</v>
    <v>59.61</v>
    <v>45.66</v>
    <v>1.0474000000000001</v>
    <v>-0.83</v>
    <v>1.5349999999999999E-3</v>
    <v>-1.3960999999999999E-2</v>
    <v>0.09</v>
    <v>USD</v>
    <v>NYSE Arca</v>
    <v>ARCX</v>
    <v>5.0000000000000001E-3</v>
    <v>59.55</v>
    <v>ETF</v>
    <v>46224.000001562497</v>
    <v>32</v>
    <v>58.61</v>
    <v>5956639182.1499996</v>
    <v>iShares:MSCI Canada</v>
    <v>59.36</v>
    <v>59.45</v>
    <v>58.62</v>
    <v>58.71</v>
    <v>EWC</v>
    <v>iShares:MSCI Canada (ARCX:EWC)</v>
    <v>2012283</v>
    <v>1571251</v>
  </rv>
  <rv s="2">
    <v>33</v>
  </rv>
  <rv s="0">
    <v>https://www.bing.com/financeapi/forcetrigger?t=a1sgvh&amp;q=ARCX%3aEWW&amp;form=skydnc</v>
    <v>Learn more on Bing</v>
  </rv>
  <rv s="1">
    <v>en-US</v>
    <v>a1sgvh</v>
    <v>268435456</v>
    <v>1</v>
    <v>Powered by Refinitiv</v>
    <v>0</v>
    <v>iShares:MSCI Mexico (ARCX:EWW)</v>
    <v>2</v>
    <v>3</v>
    <v>Finance</v>
    <v>4</v>
    <v>81.649900000000002</v>
    <v>58.87</v>
    <v>0.80769999999999997</v>
    <v>-0.02</v>
    <v>0</v>
    <v>-2.6630000000000002E-4</v>
    <v>0</v>
    <v>USD</v>
    <v>NYSE Arca</v>
    <v>ARCX</v>
    <v>5.0000000000000001E-3</v>
    <v>75.900000000000006</v>
    <v>ETF</v>
    <v>46224.000000948436</v>
    <v>35</v>
    <v>75</v>
    <v>1835645086.8599999</v>
    <v>iShares:MSCI Mexico</v>
    <v>75.52</v>
    <v>75.11</v>
    <v>75.09</v>
    <v>75.09</v>
    <v>EWW</v>
    <v>iShares:MSCI Mexico (ARCX:EWW)</v>
    <v>589411</v>
    <v>1232234</v>
  </rv>
  <rv s="2">
    <v>36</v>
  </rv>
  <rv s="0">
    <v>https://www.bing.com/financeapi/forcetrigger?t=a33pk2&amp;q=CBOE+MKT+VOLATILITY+IDX&amp;form=skydnc</v>
    <v>Learn more on Bing</v>
  </rv>
  <rv s="4">
    <v>en-US</v>
    <v>a33pk2</v>
    <v>268435456</v>
    <v>1</v>
    <v>Powered by Refinitiv</v>
    <v>8</v>
    <v>CBOE MKT VOLATILITY IDX</v>
    <v>2</v>
    <v>9</v>
    <v>Finance</v>
    <v>10</v>
    <v>35.299999999999997</v>
    <v>13.38</v>
    <v>-0.12</v>
    <v>-6.3929999999999994E-3</v>
    <v>US</v>
    <v>18.940000000000001</v>
    <v>Index</v>
    <v>38</v>
    <v>17.41</v>
    <v>CBOE MKT VOLATILITY IDX</v>
    <v>18.899999999999999</v>
    <v>18.77</v>
    <v>18.649999999999999</v>
    <v>VIX</v>
    <v>CBOE MKT VOLATILITY IDX</v>
  </rv>
  <rv s="2">
    <v>39</v>
  </rv>
  <rv s="0">
    <v>https://www.bing.com/financeapi/forcetrigger?t=a1xghw&amp;q=ARCX%3aMDY&amp;form=skydnc</v>
    <v>Learn more on Bing</v>
  </rv>
  <rv s="1">
    <v>en-US</v>
    <v>a1xghw</v>
    <v>268435456</v>
    <v>1</v>
    <v>Powered by Refinitiv</v>
    <v>0</v>
    <v>StateStreet SPDR SPMC400 (ARCX:MDY)</v>
    <v>2</v>
    <v>3</v>
    <v>Finance</v>
    <v>4</v>
    <v>704.45</v>
    <v>559.89</v>
    <v>0.99370000000000003</v>
    <v>-5.41</v>
    <v>1.3489999999999999E-3</v>
    <v>-7.8549999999999991E-3</v>
    <v>0.92200000000000004</v>
    <v>USD</v>
    <v>NYSE Arca</v>
    <v>ARCX</v>
    <v>2.3E-3</v>
    <v>692.45</v>
    <v>ETF</v>
    <v>46224.00000070547</v>
    <v>41</v>
    <v>683.1</v>
    <v>28052918543.869999</v>
    <v>StateStreet SPDR SPMC400</v>
    <v>691.46</v>
    <v>688.75</v>
    <v>683.34</v>
    <v>684.26199999999994</v>
    <v>MDY</v>
    <v>StateStreet SPDR SPMC400 (ARCX:MDY)</v>
    <v>1009364</v>
    <v>701610</v>
  </rv>
  <rv s="2">
    <v>42</v>
  </rv>
  <rv s="0">
    <v>https://www.bing.com/financeapi/forcetrigger?t=a1z91h&amp;q=XNAS%3aONEQ&amp;form=skydnc</v>
    <v>Learn more on Bing</v>
  </rv>
  <rv s="1">
    <v>en-US</v>
    <v>a1z91h</v>
    <v>268435456</v>
    <v>1</v>
    <v>Powered by Refinitiv</v>
    <v>0</v>
    <v>Fidelity Nasd Composite (XNAS:ONEQ)</v>
    <v>2</v>
    <v>3</v>
    <v>Finance</v>
    <v>4</v>
    <v>107.07</v>
    <v>80.760000000000005</v>
    <v>1.0422</v>
    <v>0.1</v>
    <v>0</v>
    <v>9.9550000000000007E-4</v>
    <v>0</v>
    <v>USD</v>
    <v>Nasdaq Stock Market</v>
    <v>XNAS</v>
    <v>2.0999999999999999E-3</v>
    <v>101.6799</v>
    <v>ETF</v>
    <v>46223.982068344529</v>
    <v>44</v>
    <v>100.41</v>
    <v>10687616226.360001</v>
    <v>Fidelity Nasd Composite</v>
    <v>101.42</v>
    <v>100.45</v>
    <v>100.55</v>
    <v>100.55</v>
    <v>ONEQ</v>
    <v>Fidelity Nasd Composite (XNAS:ONEQ)</v>
    <v>252229</v>
    <v>349319</v>
  </rv>
  <rv s="2">
    <v>45</v>
  </rv>
  <rv s="0">
    <v>https://www.bing.com/financeapi/forcetrigger?t=a1vx4c&amp;q=ARCX%3aIWC&amp;form=skydnc</v>
    <v>Learn more on Bing</v>
  </rv>
  <rv s="1">
    <v>en-US</v>
    <v>a1vx4c</v>
    <v>268435456</v>
    <v>1</v>
    <v>Powered by Refinitiv</v>
    <v>0</v>
    <v>iShares:Micro-Cap (ARCX:IWC)</v>
    <v>2</v>
    <v>3</v>
    <v>Finance</v>
    <v>4</v>
    <v>203.28</v>
    <v>126.0128</v>
    <v>1.0828</v>
    <v>-2.31</v>
    <v>0</v>
    <v>-1.2055E-2</v>
    <v>0</v>
    <v>USD</v>
    <v>NYSE Arca</v>
    <v>ARCX</v>
    <v>6.0000000000000001E-3</v>
    <v>192.04</v>
    <v>ETF</v>
    <v>46224.00000100625</v>
    <v>47</v>
    <v>189.3</v>
    <v>1520632957.8499999</v>
    <v>iShares:Micro-Cap</v>
    <v>192.04</v>
    <v>191.62</v>
    <v>189.31</v>
    <v>189.31</v>
    <v>IWC</v>
    <v>iShares:Micro-Cap (ARCX:IWC)</v>
    <v>84596</v>
    <v>89090</v>
  </rv>
  <rv s="2">
    <v>48</v>
  </rv>
  <rv s="0">
    <v>https://www.bing.com/financeapi/forcetrigger?t=a267zr&amp;q=ARCX%3aXLK&amp;form=skydnc</v>
    <v>Learn more on Bing</v>
  </rv>
  <rv s="1">
    <v>en-US</v>
    <v>a267zr</v>
    <v>268435456</v>
    <v>1</v>
    <v>Powered by Refinitiv</v>
    <v>0</v>
    <v>Sel Sector:Tech SPDR (ARCX:XLK)</v>
    <v>2</v>
    <v>3</v>
    <v>Finance</v>
    <v>4</v>
    <v>198.73</v>
    <v>126.68</v>
    <v>1.0155000000000001</v>
    <v>0.12</v>
    <v>4.5530000000000001E-4</v>
    <v>6.8340000000000002E-4</v>
    <v>0.08</v>
    <v>USD</v>
    <v>NYSE Arca</v>
    <v>ARCX</v>
    <v>8.0000000000000004E-4</v>
    <v>178.7</v>
    <v>ETF</v>
    <v>46224.000001666405</v>
    <v>50</v>
    <v>175.52</v>
    <v>123912575222.02</v>
    <v>Sel Sector:Tech SPDR</v>
    <v>177.19</v>
    <v>175.59</v>
    <v>175.71</v>
    <v>175.79</v>
    <v>XLK</v>
    <v>Sel Sector:Tech SPDR (ARCX:XLK)</v>
    <v>7638589</v>
    <v>11407172</v>
  </rv>
  <rv s="2">
    <v>51</v>
  </rv>
  <rv s="0">
    <v>https://www.bing.com/financeapi/forcetrigger?t=a267ww&amp;q=ARCX%3aXLI&amp;form=skydnc</v>
    <v>Learn more on Bing</v>
  </rv>
  <rv s="1">
    <v>en-US</v>
    <v>a267ww</v>
    <v>268435456</v>
    <v>1</v>
    <v>Powered by Refinitiv</v>
    <v>0</v>
    <v>Sel Sector:Ind SS SPDR (ARCX:XLI)</v>
    <v>2</v>
    <v>3</v>
    <v>Finance</v>
    <v>4</v>
    <v>186.44499999999999</v>
    <v>147.13499999999999</v>
    <v>1.0001</v>
    <v>-1.29</v>
    <v>1.1790000000000001E-3</v>
    <v>-7.1899999999999993E-3</v>
    <v>0.21</v>
    <v>USD</v>
    <v>NYSE Arca</v>
    <v>ARCX</v>
    <v>8.0000000000000004E-4</v>
    <v>181.26499999999999</v>
    <v>ETF</v>
    <v>46224.000000474218</v>
    <v>53</v>
    <v>177.59</v>
    <v>33963889827.860001</v>
    <v>Sel Sector:Ind SS SPDR</v>
    <v>180.61</v>
    <v>179.41</v>
    <v>178.12</v>
    <v>178.33</v>
    <v>XLI</v>
    <v>Sel Sector:Ind SS SPDR (ARCX:XLI)</v>
    <v>6044619</v>
    <v>7529236</v>
  </rv>
  <rv s="2">
    <v>54</v>
  </rv>
  <rv s="0">
    <v>https://www.bing.com/financeapi/forcetrigger?t=a267lh&amp;q=ARCX%3aXLB&amp;form=skydnc</v>
    <v>Learn more on Bing</v>
  </rv>
  <rv s="1">
    <v>en-US</v>
    <v>a267lh</v>
    <v>268435456</v>
    <v>1</v>
    <v>Powered by Refinitiv</v>
    <v>0</v>
    <v>Sel Sector:Mat SS SPDR (ARCX:XLB)</v>
    <v>2</v>
    <v>3</v>
    <v>Finance</v>
    <v>4</v>
    <v>54.14</v>
    <v>42.034999999999997</v>
    <v>0.98399999999999999</v>
    <v>-0.5</v>
    <v>1.3990000000000001E-3</v>
    <v>-9.895000000000001E-3</v>
    <v>7.0000000000000007E-2</v>
    <v>USD</v>
    <v>NYSE Arca</v>
    <v>ARCX</v>
    <v>8.0000000000000004E-4</v>
    <v>50.73</v>
    <v>ETF</v>
    <v>46224.000001666405</v>
    <v>56</v>
    <v>49.88</v>
    <v>8166011156.0299997</v>
    <v>Sel Sector:Mat SS SPDR</v>
    <v>50.64</v>
    <v>50.53</v>
    <v>50.03</v>
    <v>50.1</v>
    <v>XLB</v>
    <v>Sel Sector:Mat SS SPDR (ARCX:XLB)</v>
    <v>10680275</v>
    <v>11484195</v>
  </rv>
  <rv s="2">
    <v>57</v>
  </rv>
  <rv s="0">
    <v>https://www.bing.com/financeapi/forcetrigger?t=b1hbp2&amp;q=ARCX%3aXLC&amp;form=skydnc</v>
    <v>Learn more on Bing</v>
  </rv>
  <rv s="1">
    <v>en-US</v>
    <v>b1hbp2</v>
    <v>268435456</v>
    <v>1</v>
    <v>Powered by Refinitiv</v>
    <v>0</v>
    <v>Sel Sctr:ComS SS SPDR (ARCX:XLC)</v>
    <v>2</v>
    <v>3</v>
    <v>Finance</v>
    <v>4</v>
    <v>120.405</v>
    <v>105.03</v>
    <v>0.87229999999999996</v>
    <v>0.15</v>
    <v>-1.7819999999999999E-3</v>
    <v>1.356E-3</v>
    <v>-0.19750000000000001</v>
    <v>USD</v>
    <v>NYSE Arca</v>
    <v>ARCX</v>
    <v>8.0000000000000004E-4</v>
    <v>111.66</v>
    <v>ETF</v>
    <v>46223.995178483594</v>
    <v>59</v>
    <v>110.51</v>
    <v>22262224936.369999</v>
    <v>Sel Sctr:ComS SS SPDR</v>
    <v>110.815</v>
    <v>110.65</v>
    <v>110.8</v>
    <v>110.60250000000001</v>
    <v>XLC</v>
    <v>Sel Sctr:ComS SS SPDR (ARCX:XLC)</v>
    <v>4011947</v>
    <v>7530188</v>
  </rv>
  <rv s="2">
    <v>60</v>
  </rv>
  <rv s="0">
    <v>https://www.bing.com/financeapi/forcetrigger?t=a268kr&amp;q=ARCX%3aXLY&amp;form=skydnc</v>
    <v>Learn more on Bing</v>
  </rv>
  <rv s="1">
    <v>en-US</v>
    <v>a268kr</v>
    <v>268435456</v>
    <v>1</v>
    <v>Powered by Refinitiv</v>
    <v>0</v>
    <v>Sel Sctr:C D SS SPDR (ARCX:XLY)</v>
    <v>2</v>
    <v>3</v>
    <v>Finance</v>
    <v>4</v>
    <v>125.01</v>
    <v>105.19</v>
    <v>0.90490000000000004</v>
    <v>-0.83</v>
    <v>2.5300000000000001E-3</v>
    <v>-7.1899999999999993E-3</v>
    <v>0.28999999999999998</v>
    <v>USD</v>
    <v>NYSE Arca</v>
    <v>ARCX</v>
    <v>8.0000000000000004E-4</v>
    <v>116.22</v>
    <v>ETF</v>
    <v>46224.000001481247</v>
    <v>62</v>
    <v>114.38</v>
    <v>22593435464.549999</v>
    <v>Sel Sctr:C D SS SPDR</v>
    <v>116.22</v>
    <v>115.44</v>
    <v>114.61</v>
    <v>114.9</v>
    <v>XLY</v>
    <v>Sel Sctr:C D SS SPDR (ARCX:XLY)</v>
    <v>7804561</v>
    <v>8411166</v>
  </rv>
  <rv s="2">
    <v>63</v>
  </rv>
  <rv s="0">
    <v>https://www.bing.com/financeapi/forcetrigger?t=a267oc&amp;q=ARCX%3aXLE&amp;form=skydnc</v>
    <v>Learn more on Bing</v>
  </rv>
  <rv s="1">
    <v>en-US</v>
    <v>a267oc</v>
    <v>268435456</v>
    <v>1</v>
    <v>Powered by Refinitiv</v>
    <v>0</v>
    <v>Sel Sector:Enrgy SS SPDR (ARCX:XLE)</v>
    <v>2</v>
    <v>3</v>
    <v>Finance</v>
    <v>4</v>
    <v>63.46</v>
    <v>42.05</v>
    <v>1.1060000000000001</v>
    <v>0.26</v>
    <v>1.042E-3</v>
    <v>4.5079999999999999E-3</v>
    <v>6.0400000000000002E-2</v>
    <v>USD</v>
    <v>NYSE Arca</v>
    <v>ARCX</v>
    <v>8.0000000000000004E-4</v>
    <v>58.384999999999998</v>
    <v>ETF</v>
    <v>46223.999754628909</v>
    <v>65</v>
    <v>57.41</v>
    <v>35721340670.480003</v>
    <v>Sel Sector:Enrgy SS SPDR</v>
    <v>57.555</v>
    <v>57.68</v>
    <v>57.94</v>
    <v>58.000399999999999</v>
    <v>XLE</v>
    <v>Sel Sector:Enrgy SS SPDR (ARCX:XLE)</v>
    <v>27329327</v>
    <v>33185223</v>
  </rv>
  <rv s="2">
    <v>66</v>
  </rv>
  <rv s="0">
    <v>https://www.bing.com/financeapi/forcetrigger?t=a268hw&amp;q=ARCX%3aXLV&amp;form=skydnc</v>
    <v>Learn more on Bing</v>
  </rv>
  <rv s="1">
    <v>en-US</v>
    <v>a268hw</v>
    <v>268435456</v>
    <v>1</v>
    <v>Powered by Refinitiv</v>
    <v>0</v>
    <v>Sel Sector:HC SS SPDR (ARCX:XLV)</v>
    <v>2</v>
    <v>3</v>
    <v>Finance</v>
    <v>4</v>
    <v>165.60499999999999</v>
    <v>127.96</v>
    <v>1.0032000000000001</v>
    <v>-1.84</v>
    <v>7.5350000000000005E-4</v>
    <v>-1.1422000000000002E-2</v>
    <v>0.12</v>
    <v>USD</v>
    <v>NYSE Arca</v>
    <v>ARCX</v>
    <v>8.0000000000000004E-4</v>
    <v>161.48500000000001</v>
    <v>ETF</v>
    <v>46224.000001654691</v>
    <v>68</v>
    <v>159.18</v>
    <v>40598944976.43</v>
    <v>Sel Sector:HC SS SPDR</v>
    <v>161</v>
    <v>161.09</v>
    <v>159.25</v>
    <v>159.37</v>
    <v>XLV</v>
    <v>Sel Sector:HC SS SPDR (ARCX:XLV)</v>
    <v>6635282</v>
    <v>10926657</v>
  </rv>
  <rv s="2">
    <v>69</v>
  </rv>
  <rv s="0">
    <v>https://www.bing.com/financeapi/forcetrigger?t=a267r7&amp;q=ARCX%3aXLF&amp;form=skydnc</v>
    <v>Learn more on Bing</v>
  </rv>
  <rv s="1">
    <v>en-US</v>
    <v>a267r7</v>
    <v>268435456</v>
    <v>1</v>
    <v>Powered by Refinitiv</v>
    <v>0</v>
    <v>Sel Sector:Fin SS SPDR (ARCX:XLF)</v>
    <v>2</v>
    <v>3</v>
    <v>Finance</v>
    <v>4</v>
    <v>56.935000000000002</v>
    <v>47.67</v>
    <v>0.99850000000000005</v>
    <v>-0.22</v>
    <v>5.3530000000000006E-4</v>
    <v>-3.9100000000000003E-3</v>
    <v>0.03</v>
    <v>USD</v>
    <v>NYSE Arca</v>
    <v>ARCX</v>
    <v>8.0000000000000004E-4</v>
    <v>56.38</v>
    <v>ETF</v>
    <v>46224.000001631248</v>
    <v>71</v>
    <v>55.89</v>
    <v>51353823061.32</v>
    <v>Sel Sector:Fin SS SPDR</v>
    <v>56.3</v>
    <v>56.26</v>
    <v>56.04</v>
    <v>56.07</v>
    <v>XLF</v>
    <v>Sel Sector:Fin SS SPDR (ARCX:XLF)</v>
    <v>38162632</v>
    <v>36260885</v>
  </rv>
  <rv s="2">
    <v>72</v>
  </rv>
  <rv s="0">
    <v>https://www.bing.com/financeapi/forcetrigger?t=a2689c&amp;q=ARCX%3aXLRE&amp;form=skydnc</v>
    <v>Learn more on Bing</v>
  </rv>
  <rv s="1">
    <v>en-US</v>
    <v>a2689c</v>
    <v>268435456</v>
    <v>1</v>
    <v>Powered by Refinitiv</v>
    <v>0</v>
    <v>Sel Sector:RE SS SPDR (ARCX:XLRE)</v>
    <v>2</v>
    <v>3</v>
    <v>Finance</v>
    <v>4</v>
    <v>45.954999999999998</v>
    <v>39.725000000000001</v>
    <v>0.99350000000000005</v>
    <v>-0.19</v>
    <v>-6.6549999999999997E-4</v>
    <v>-4.1830000000000001E-3</v>
    <v>-3.0099999999999998E-2</v>
    <v>USD</v>
    <v>NYSE Arca</v>
    <v>ARCX</v>
    <v>8.0000000000000004E-4</v>
    <v>45.51</v>
    <v>ETF</v>
    <v>46224.000001562497</v>
    <v>74</v>
    <v>45.06</v>
    <v>8102354358.4399996</v>
    <v>Sel Sector:RE SS SPDR</v>
    <v>45.335000000000001</v>
    <v>45.42</v>
    <v>45.23</v>
    <v>45.1999</v>
    <v>XLRE</v>
    <v>Sel Sector:RE SS SPDR (ARCX:XLRE)</v>
    <v>3255303</v>
    <v>5275064</v>
  </rv>
  <rv s="2">
    <v>75</v>
  </rv>
  <rv s="0">
    <v>https://www.bing.com/financeapi/forcetrigger?t=a268f2&amp;q=ARCX%3aXLU&amp;form=skydnc</v>
    <v>Learn more on Bing</v>
  </rv>
  <rv s="1">
    <v>en-US</v>
    <v>a268f2</v>
    <v>268435456</v>
    <v>1</v>
    <v>Powered by Refinitiv</v>
    <v>0</v>
    <v>Sel Sector:Utl SS SPDR (ARCX:XLU)</v>
    <v>2</v>
    <v>3</v>
    <v>Finance</v>
    <v>4</v>
    <v>47.8</v>
    <v>41.15</v>
    <v>0.99790000000000001</v>
    <v>-0.23</v>
    <v>8.9010000000000001E-4</v>
    <v>-5.0920000000000002E-3</v>
    <v>0.04</v>
    <v>USD</v>
    <v>NYSE Arca</v>
    <v>ARCX</v>
    <v>8.0000000000000004E-4</v>
    <v>45.66</v>
    <v>ETF</v>
    <v>46223.99960474531</v>
    <v>77</v>
    <v>44.81</v>
    <v>23111417102.849998</v>
    <v>Sel Sector:Utl SS SPDR</v>
    <v>45.325000000000003</v>
    <v>45.17</v>
    <v>44.94</v>
    <v>44.98</v>
    <v>XLU</v>
    <v>Sel Sector:Utl SS SPDR (ARCX:XLU)</v>
    <v>17830881</v>
    <v>19827856</v>
  </rv>
  <rv s="2">
    <v>78</v>
  </rv>
  <rv s="0">
    <v>https://www.bing.com/financeapi/forcetrigger?t=a2686h&amp;q=ARCX%3aXLP&amp;form=skydnc</v>
    <v>Learn more on Bing</v>
  </rv>
  <rv s="1">
    <v>en-US</v>
    <v>a2686h</v>
    <v>268435456</v>
    <v>1</v>
    <v>Powered by Refinitiv</v>
    <v>0</v>
    <v>Sel Sector:C SSS SPDR (ARCX:XLP)</v>
    <v>2</v>
    <v>3</v>
    <v>Finance</v>
    <v>4</v>
    <v>90.14</v>
    <v>75.16</v>
    <v>0.9748</v>
    <v>-0.33</v>
    <v>0</v>
    <v>-3.8740000000000003E-3</v>
    <v>0</v>
    <v>USD</v>
    <v>NYSE Arca</v>
    <v>ARCX</v>
    <v>8.0000000000000004E-4</v>
    <v>85.399000000000001</v>
    <v>ETF</v>
    <v>46224.000000161715</v>
    <v>80</v>
    <v>84.56</v>
    <v>13649293324.08</v>
    <v>Sel Sector:C SSS SPDR</v>
    <v>85.135000000000005</v>
    <v>85.19</v>
    <v>84.86</v>
    <v>84.86</v>
    <v>XLP</v>
    <v>Sel Sector:C SSS SPDR (ARCX:XLP)</v>
    <v>8571138</v>
    <v>11888928</v>
  </rv>
  <rv s="2">
    <v>81</v>
  </rv>
  <rv s="3">
    <v>en-US</v>
    <v>ck5yww</v>
    <v>268435456</v>
    <v>1</v>
    <v>Powered by Refinitiv</v>
    <v>5</v>
    <v>Roundhill Memory (BATS:DRAM)</v>
    <v>6</v>
    <v>7</v>
    <v>Finance</v>
    <v>11</v>
    <v>81.34</v>
    <v>26.14</v>
    <v>0.38</v>
    <v>3.6049999999999997E-3</v>
    <v>7.208E-3</v>
    <v>0.1913</v>
    <v>USD</v>
    <v>CBOE BZX Exchange</v>
    <v>BATS</v>
    <v>6.5000000000000006E-3</v>
    <v>55.2</v>
    <v>ETF</v>
    <v>46223.999940520313</v>
    <v>52.92</v>
    <v>25910762039</v>
    <v>Roundhill Memory</v>
    <v>54.25</v>
    <v>52.72</v>
    <v>53.1</v>
    <v>53.251300000000001</v>
    <v>DRAM</v>
    <v>Roundhill Memory (BATS:DRAM)</v>
    <v>50527434</v>
    <v>65496826</v>
  </rv>
  <rv s="2">
    <v>83</v>
  </rv>
  <rv s="5">
    <v>en-US</v>
    <v>c9t2c7</v>
    <v>268435456</v>
    <v>1</v>
    <v>Powered by Refinitiv</v>
    <v>12</v>
    <v>Roundhill Gen AI &amp; Tech (ARCX:CHAT)</v>
    <v>6</v>
    <v>3</v>
    <v>Finance</v>
    <v>4</v>
    <v>105.2</v>
    <v>49.01</v>
    <v>1.2958000000000001</v>
    <v>0.15</v>
    <v>4.6289999999999994E-3</v>
    <v>1.8310000000000002E-3</v>
    <v>0.38</v>
    <v>USD</v>
    <v>NYSE Arca</v>
    <v>ARCX</v>
    <v>7.4999999999999997E-3</v>
    <v>83.83</v>
    <v>ETF</v>
    <v>46224.000001585155</v>
    <v>81.96</v>
    <v>2134398026.1099999</v>
    <v>Roundhill Gen AI &amp; Tech</v>
    <v>82.87</v>
    <v>81.94</v>
    <v>82.09</v>
    <v>82.47</v>
    <v>CHAT</v>
    <v>Roundhill Gen AI &amp; Tech (ARCX:CHAT)</v>
    <v>354250</v>
    <v>640147</v>
  </rv>
  <rv s="2">
    <v>85</v>
  </rv>
  <rv s="0">
    <v>https://www.bing.com/financeapi/forcetrigger?t=a23bxm&amp;q=XNAS%3aSOXX&amp;form=skydnc</v>
    <v>Learn more on Bing</v>
  </rv>
  <rv s="1">
    <v>en-US</v>
    <v>a23bxm</v>
    <v>268435456</v>
    <v>1</v>
    <v>Powered by Refinitiv</v>
    <v>0</v>
    <v>iShares:Semiconductor (XNAS:SOXX)</v>
    <v>2</v>
    <v>3</v>
    <v>Finance</v>
    <v>4</v>
    <v>655.95</v>
    <v>232.33</v>
    <v>1.6958</v>
    <v>2.33</v>
    <v>1.2019999999999999E-3</v>
    <v>4.4650000000000002E-3</v>
    <v>0.63</v>
    <v>USD</v>
    <v>Nasdaq Stock Market</v>
    <v>XNAS</v>
    <v>3.3E-3</v>
    <v>539.54</v>
    <v>ETF</v>
    <v>46223.999741157029</v>
    <v>87</v>
    <v>522.84</v>
    <v>47824829758.050003</v>
    <v>iShares:Semiconductor</v>
    <v>534</v>
    <v>521.80999999999995</v>
    <v>524.14</v>
    <v>524.77</v>
    <v>SOXX</v>
    <v>iShares:Semiconductor (XNAS:SOXX)</v>
    <v>6533139</v>
    <v>10265492</v>
  </rv>
  <rv s="2">
    <v>88</v>
  </rv>
  <rv s="0">
    <v>https://www.bing.com/financeapi/forcetrigger?t=a1zjvh&amp;q=ARCX%3aPBW&amp;form=skydnc</v>
    <v>Learn more on Bing</v>
  </rv>
  <rv s="1">
    <v>en-US</v>
    <v>a1zjvh</v>
    <v>268435456</v>
    <v>1</v>
    <v>Powered by Refinitiv</v>
    <v>0</v>
    <v>Invesco WldHill CE (ARCX:PBW)</v>
    <v>2</v>
    <v>3</v>
    <v>Finance</v>
    <v>4</v>
    <v>47.22</v>
    <v>21.78</v>
    <v>0.99470000000000003</v>
    <v>-0.18</v>
    <v>0</v>
    <v>-5.391E-3</v>
    <v>0</v>
    <v>USD</v>
    <v>NYSE Arca</v>
    <v>ARCX</v>
    <v>6.4000000000000003E-3</v>
    <v>33.81</v>
    <v>ETF</v>
    <v>46224.000000995315</v>
    <v>90</v>
    <v>32.99</v>
    <v>484880781.13</v>
    <v>Invesco WldHill CE</v>
    <v>33.65</v>
    <v>33.39</v>
    <v>33.21</v>
    <v>33.21</v>
    <v>PBW</v>
    <v>Invesco WldHill CE (ARCX:PBW)</v>
    <v>567088</v>
    <v>691431</v>
  </rv>
  <rv s="2">
    <v>91</v>
  </rv>
  <rv s="0">
    <v>https://www.bing.com/financeapi/forcetrigger?t=a23a8m&amp;q=XNAS%3aSOCL&amp;form=skydnc</v>
    <v>Learn more on Bing</v>
  </rv>
  <rv s="1">
    <v>en-US</v>
    <v>a23a8m</v>
    <v>268435456</v>
    <v>1</v>
    <v>Powered by Refinitiv</v>
    <v>0</v>
    <v>Glbl X Social Media (XNAS:SOCL)</v>
    <v>2</v>
    <v>3</v>
    <v>Finance</v>
    <v>4</v>
    <v>63.93</v>
    <v>41.344999999999999</v>
    <v>1.1569</v>
    <v>0.54020000000000001</v>
    <v>2.6550000000000002E-3</v>
    <v>1.1807000000000002E-2</v>
    <v>0.1229</v>
    <v>USD</v>
    <v>Nasdaq Stock Market</v>
    <v>XNAS</v>
    <v>6.5000000000000006E-3</v>
    <v>46.79</v>
    <v>ETF</v>
    <v>46223.982019050782</v>
    <v>93</v>
    <v>46.22</v>
    <v>87337979.069999993</v>
    <v>Glbl X Social Media</v>
    <v>46.28</v>
    <v>45.751899999999999</v>
    <v>46.292099999999998</v>
    <v>46.414999999999999</v>
    <v>SOCL</v>
    <v>Glbl X Social Media (XNAS:SOCL)</v>
    <v>5656</v>
    <v>7817</v>
  </rv>
  <rv s="2">
    <v>94</v>
  </rv>
  <rv s="0">
    <v>https://www.bing.com/financeapi/forcetrigger?t=a235f2&amp;q=XNAS%3aSMH&amp;form=skydnc</v>
    <v>Learn more on Bing</v>
  </rv>
  <rv s="1">
    <v>en-US</v>
    <v>a235f2</v>
    <v>268435456</v>
    <v>1</v>
    <v>Powered by Refinitiv</v>
    <v>0</v>
    <v>VanEck:Semiconductor (XNAS:SMH)</v>
    <v>2</v>
    <v>3</v>
    <v>Finance</v>
    <v>4</v>
    <v>671.83</v>
    <v>279.19</v>
    <v>1.5609999999999999</v>
    <v>2.2999999999999998</v>
    <v>1.915E-3</v>
    <v>4.1330000000000004E-3</v>
    <v>1.07</v>
    <v>USD</v>
    <v>Nasdaq Stock Market</v>
    <v>XNAS</v>
    <v>3.4999999999999996E-3</v>
    <v>572.77</v>
    <v>ETF</v>
    <v>46223.999908587502</v>
    <v>96</v>
    <v>557.24</v>
    <v>77198271229.210007</v>
    <v>VanEck:Semiconductor</v>
    <v>568.78</v>
    <v>556.53</v>
    <v>558.83000000000004</v>
    <v>559.9</v>
    <v>SMH</v>
    <v>VanEck:Semiconductor (XNAS:SMH)</v>
    <v>6962563</v>
    <v>11854960</v>
  </rv>
  <rv s="2">
    <v>97</v>
  </rv>
  <rv s="0">
    <v>https://www.bing.com/financeapi/forcetrigger?t=a1z5r7&amp;q=ARCX%3aOIH&amp;form=skydnc</v>
    <v>Learn more on Bing</v>
  </rv>
  <rv s="1">
    <v>en-US</v>
    <v>a1z5r7</v>
    <v>268435456</v>
    <v>1</v>
    <v>Powered by Refinitiv</v>
    <v>0</v>
    <v>VanEck:Oil Services (ARCX:OIH)</v>
    <v>2</v>
    <v>3</v>
    <v>Finance</v>
    <v>4</v>
    <v>459.28</v>
    <v>231.82499999999999</v>
    <v>1.4885999999999999</v>
    <v>-3.81</v>
    <v>1.359E-3</v>
    <v>-1.0053000000000001E-2</v>
    <v>0.51</v>
    <v>USD</v>
    <v>NYSE Arca</v>
    <v>ARCX</v>
    <v>3.4999999999999996E-3</v>
    <v>381.58</v>
    <v>ETF</v>
    <v>46224.000001654691</v>
    <v>99</v>
    <v>374.84</v>
    <v>1991713364.5699999</v>
    <v>VanEck:Oil Services</v>
    <v>378.28</v>
    <v>378.99</v>
    <v>375.18</v>
    <v>375.69</v>
    <v>OIH</v>
    <v>VanEck:Oil Services (ARCX:OIH)</v>
    <v>109373</v>
    <v>386269</v>
  </rv>
  <rv s="2">
    <v>100</v>
  </rv>
  <rv s="3">
    <v>en-US</v>
    <v>cc7ocw</v>
    <v>268435456</v>
    <v>1</v>
    <v>Powered by Refinitiv</v>
    <v>5</v>
    <v>Range Nuclr Renssnce Idx (ARCX:NUKZ)</v>
    <v>6</v>
    <v>7</v>
    <v>Finance</v>
    <v>4</v>
    <v>77.34</v>
    <v>55.5501</v>
    <v>-0.1</v>
    <v>1.9250000000000001E-3</v>
    <v>-1.6020000000000001E-3</v>
    <v>0.12</v>
    <v>USD</v>
    <v>NYSE Arca</v>
    <v>ARCX</v>
    <v>8.5000000000000006E-3</v>
    <v>63.2</v>
    <v>ETF</v>
    <v>46224.000000635941</v>
    <v>62.08</v>
    <v>837039658.85000002</v>
    <v>Range Nuclr Renssnce Idx</v>
    <v>62.68</v>
    <v>62.43</v>
    <v>62.33</v>
    <v>62.45</v>
    <v>NUKZ</v>
    <v>Range Nuclr Renssnce Idx (ARCX:NUKZ)</v>
    <v>84595</v>
    <v>98899</v>
  </rv>
  <rv s="2">
    <v>102</v>
  </rv>
  <rv s="0">
    <v>https://www.bing.com/financeapi/forcetrigger?t=a266rw&amp;q=ARCX%3aXHB&amp;form=skydnc</v>
    <v>Learn more on Bing</v>
  </rv>
  <rv s="1">
    <v>en-US</v>
    <v>a266rw</v>
    <v>268435456</v>
    <v>1</v>
    <v>Powered by Refinitiv</v>
    <v>0</v>
    <v>SS SPDR S&amp;P Homebuilders (ARCX:XHB)</v>
    <v>2</v>
    <v>3</v>
    <v>Finance</v>
    <v>4</v>
    <v>123.13</v>
    <v>93.57</v>
    <v>1.264</v>
    <v>-2.1800000000000002</v>
    <v>-1.8859999999999999E-3</v>
    <v>-2.0139000000000001E-2</v>
    <v>-0.2</v>
    <v>USD</v>
    <v>NYSE Arca</v>
    <v>ARCX</v>
    <v>3.4999999999999996E-3</v>
    <v>109.16</v>
    <v>ETF</v>
    <v>46223.982053055472</v>
    <v>104</v>
    <v>105.72</v>
    <v>1630054792.72</v>
    <v>SS SPDR S&amp;P Homebuilders</v>
    <v>108.78</v>
    <v>108.25</v>
    <v>106.07</v>
    <v>105.87</v>
    <v>XHB</v>
    <v>SS SPDR S&amp;P Homebuilders (ARCX:XHB)</v>
    <v>2097896</v>
    <v>3069718</v>
  </rv>
  <rv s="2">
    <v>105</v>
  </rv>
  <rv s="0">
    <v>https://www.bing.com/financeapi/forcetrigger?t=b9wnim&amp;q=ARCX%3aQTUM&amp;form=skydnc</v>
    <v>Learn more on Bing</v>
  </rv>
  <rv s="1">
    <v>en-US</v>
    <v>b9wnim</v>
    <v>268435456</v>
    <v>1</v>
    <v>Powered by Refinitiv</v>
    <v>0</v>
    <v>Defiance Quantum (XNAS:QTUM)</v>
    <v>2</v>
    <v>3</v>
    <v>Finance</v>
    <v>4</v>
    <v>170</v>
    <v>89.230099999999993</v>
    <v>1.3487</v>
    <v>-0.51</v>
    <v>-4.2500000000000003E-4</v>
    <v>-3.5989999999999998E-3</v>
    <v>-0.06</v>
    <v>USD</v>
    <v>Nasdaq Stock Market</v>
    <v>XNAS</v>
    <v>4.0000000000000001E-3</v>
    <v>144.125</v>
    <v>ETF</v>
    <v>46223.995122140623</v>
    <v>107</v>
    <v>141.04</v>
    <v>6260666411.3199997</v>
    <v>Defiance Quantum</v>
    <v>142.85499999999999</v>
    <v>141.69</v>
    <v>141.18</v>
    <v>141.12</v>
    <v>QTUM</v>
    <v>Defiance Quantum (XNAS:QTUM)</v>
    <v>425082</v>
    <v>608062</v>
  </rv>
  <rv s="2">
    <v>108</v>
  </rv>
  <rv s="0">
    <v>https://www.bing.com/financeapi/forcetrigger?t=a1tqp2&amp;q=ARCX%3aGDX&amp;form=skydnc</v>
    <v>Learn more on Bing</v>
  </rv>
  <rv s="1">
    <v>en-US</v>
    <v>a1tqp2</v>
    <v>268435456</v>
    <v>1</v>
    <v>Powered by Refinitiv</v>
    <v>0</v>
    <v>VanEck:Gold Miners (ARCX:GDX)</v>
    <v>2</v>
    <v>3</v>
    <v>Finance</v>
    <v>4</v>
    <v>117.175</v>
    <v>51.365000000000002</v>
    <v>0.96789999999999998</v>
    <v>-0.57999999999999996</v>
    <v>1.4139999999999999E-4</v>
    <v>-8.1320000000000003E-3</v>
    <v>0.01</v>
    <v>USD</v>
    <v>NYSE Arca</v>
    <v>ARCX</v>
    <v>5.1000000000000004E-3</v>
    <v>71.61</v>
    <v>ETF</v>
    <v>46223.99994425859</v>
    <v>110</v>
    <v>70.52</v>
    <v>22753127495.380001</v>
    <v>VanEck:Gold Miners</v>
    <v>71.14</v>
    <v>71.319999999999993</v>
    <v>70.739999999999995</v>
    <v>70.75</v>
    <v>GDX</v>
    <v>VanEck:Gold Miners (ARCX:GDX)</v>
    <v>12353795</v>
    <v>23957854</v>
  </rv>
  <rv s="2">
    <v>111</v>
  </rv>
  <rv s="0">
    <v>https://www.bing.com/financeapi/forcetrigger?t=a269pr&amp;q=ARCX%3aXOP&amp;form=skydnc</v>
    <v>Learn more on Bing</v>
  </rv>
  <rv s="1">
    <v>en-US</v>
    <v>a269pr</v>
    <v>268435456</v>
    <v>1</v>
    <v>Powered by Refinitiv</v>
    <v>0</v>
    <v>SS SPDR S&amp;P Oil&amp;Gas Exp (ARCX:XOP)</v>
    <v>2</v>
    <v>3</v>
    <v>Finance</v>
    <v>4</v>
    <v>190.36</v>
    <v>121.4551</v>
    <v>1.2524999999999999</v>
    <v>-0.14000000000000001</v>
    <v>1.653E-3</v>
    <v>-8.2269999999999999E-4</v>
    <v>0.28110000000000002</v>
    <v>USD</v>
    <v>NYSE Arca</v>
    <v>ARCX</v>
    <v>3.4999999999999996E-3</v>
    <v>172.06</v>
    <v>ETF</v>
    <v>46224.000001666405</v>
    <v>113</v>
    <v>168.76499999999999</v>
    <v>2914506607.9699998</v>
    <v>SS SPDR S&amp;P Oil&amp;Gas Exp</v>
    <v>169</v>
    <v>170.18</v>
    <v>170.04</v>
    <v>170.3211</v>
    <v>XOP</v>
    <v>SS SPDR S&amp;P Oil&amp;Gas Exp (ARCX:XOP)</v>
    <v>3263093</v>
    <v>3690639</v>
  </rv>
  <rv s="2">
    <v>114</v>
  </rv>
  <rv s="0">
    <v>https://www.bing.com/financeapi/forcetrigger?t=a1vzmw&amp;q=BATS%3aIYT&amp;form=skydnc</v>
    <v>Learn more on Bing</v>
  </rv>
  <rv s="1">
    <v>en-US</v>
    <v>a1vzmw</v>
    <v>268435456</v>
    <v>1</v>
    <v>Powered by Refinitiv</v>
    <v>0</v>
    <v>iShares:US Transportatn (BATS:IYT)</v>
    <v>2</v>
    <v>3</v>
    <v>Finance</v>
    <v>11</v>
    <v>90.06</v>
    <v>66.28</v>
    <v>0.9637</v>
    <v>-0.95</v>
    <v>0</v>
    <v>-1.0648999999999999E-2</v>
    <v>0</v>
    <v>USD</v>
    <v>CBOE BZX Exchange</v>
    <v>BATS</v>
    <v>3.7000000000000002E-3</v>
    <v>89.71</v>
    <v>ETF</v>
    <v>46223.982026943748</v>
    <v>116</v>
    <v>88.08</v>
    <v>2252120805.5900002</v>
    <v>iShares:US Transportatn</v>
    <v>89.47</v>
    <v>89.21</v>
    <v>88.26</v>
    <v>88.26</v>
    <v>IYT</v>
    <v>iShares:US Transportatn (BATS:IYT)</v>
    <v>458288</v>
    <v>816641</v>
  </rv>
  <rv s="2">
    <v>117</v>
  </rv>
  <rv s="0">
    <v>https://www.bing.com/financeapi/forcetrigger?t=a1vzh7&amp;q=ARCX%3aIYM&amp;form=skydnc</v>
    <v>Learn more on Bing</v>
  </rv>
  <rv s="1">
    <v>en-US</v>
    <v>a1vzh7</v>
    <v>268435456</v>
    <v>1</v>
    <v>Powered by Refinitiv</v>
    <v>0</v>
    <v>iShares:US Bsc Mat (ARCX:IYM)</v>
    <v>2</v>
    <v>3</v>
    <v>Finance</v>
    <v>4</v>
    <v>191.37</v>
    <v>138.03</v>
    <v>1.0326</v>
    <v>-1.27</v>
    <v>-1.8819999999999999E-4</v>
    <v>-7.3009999999999993E-3</v>
    <v>-3.2500000000000001E-2</v>
    <v>USD</v>
    <v>NYSE Arca</v>
    <v>ARCX</v>
    <v>3.8E-3</v>
    <v>174.52</v>
    <v>ETF</v>
    <v>46224.000000763284</v>
    <v>119</v>
    <v>172.31</v>
    <v>1409876379.6900001</v>
    <v>iShares:US Bsc Mat</v>
    <v>174.52</v>
    <v>173.94</v>
    <v>172.67</v>
    <v>172.63749999999999</v>
    <v>IYM</v>
    <v>iShares:US Bsc Mat (ARCX:IYM)</v>
    <v>39433</v>
    <v>279579</v>
  </rv>
  <rv s="2">
    <v>120</v>
  </rv>
  <rv s="0">
    <v>https://www.bing.com/financeapi/forcetrigger?t=a1zwp2&amp;q=ARCX%3aPJP&amp;form=skydnc</v>
    <v>Learn more on Bing</v>
  </rv>
  <rv s="1">
    <v>en-US</v>
    <v>a1zwp2</v>
    <v>268435456</v>
    <v>1</v>
    <v>Powered by Refinitiv</v>
    <v>0</v>
    <v>Invesco Pharmaceuticals (ARCX:PJP)</v>
    <v>2</v>
    <v>3</v>
    <v>Finance</v>
    <v>4</v>
    <v>122.6887</v>
    <v>80.63</v>
    <v>0.89680000000000004</v>
    <v>-1.8</v>
    <v>-3.392E-3</v>
    <v>-1.5036000000000001E-2</v>
    <v>-0.4</v>
    <v>USD</v>
    <v>NYSE Arca</v>
    <v>ARCX</v>
    <v>5.6999999999999993E-3</v>
    <v>119.74</v>
    <v>ETF</v>
    <v>46224.000000902342</v>
    <v>122</v>
    <v>117.91</v>
    <v>356145179.36000001</v>
    <v>Invesco Pharmaceuticals</v>
    <v>119.74</v>
    <v>119.71</v>
    <v>117.91</v>
    <v>117.51</v>
    <v>PJP</v>
    <v>Invesco Pharmaceuticals (ARCX:PJP)</v>
    <v>11878</v>
    <v>42166</v>
  </rv>
  <rv s="2">
    <v>123</v>
  </rv>
  <rv s="0">
    <v>https://www.bing.com/financeapi/forcetrigger?t=bur2f2&amp;q=ARCX%3aBETZ&amp;form=skydnc</v>
    <v>Learn more on Bing</v>
  </rv>
  <rv s="1">
    <v>en-US</v>
    <v>bur2f2</v>
    <v>268435456</v>
    <v>1</v>
    <v>Powered by Refinitiv</v>
    <v>0</v>
    <v>Roundhill Sports B &amp; iG (ARCX:BETZ)</v>
    <v>2</v>
    <v>3</v>
    <v>Finance</v>
    <v>4</v>
    <v>25.48</v>
    <v>17.05</v>
    <v>1.2143999999999999</v>
    <v>0.2737</v>
    <v>-1.152E-3</v>
    <v>1.4271000000000001E-2</v>
    <v>-2.24E-2</v>
    <v>USD</v>
    <v>NYSE Arca</v>
    <v>ARCX</v>
    <v>7.4999999999999997E-3</v>
    <v>19.55</v>
    <v>ETF</v>
    <v>46224.000001608591</v>
    <v>125</v>
    <v>19.12</v>
    <v>52619067.659999996</v>
    <v>Roundhill Sports B &amp; iG</v>
    <v>19.12</v>
    <v>19.178799999999999</v>
    <v>19.452500000000001</v>
    <v>19.430099999999999</v>
    <v>BETZ</v>
    <v>Roundhill Sports B &amp; iG (ARCX:BETZ)</v>
    <v>16477</v>
    <v>84487</v>
  </rv>
  <rv s="2">
    <v>126</v>
  </rv>
  <rv s="0">
    <v>https://www.bing.com/financeapi/forcetrigger?t=a26ap2&amp;q=ARCX%3aXRT&amp;form=skydnc</v>
    <v>Learn more on Bing</v>
  </rv>
  <rv s="1">
    <v>en-US</v>
    <v>a26ap2</v>
    <v>268435456</v>
    <v>1</v>
    <v>Powered by Refinitiv</v>
    <v>0</v>
    <v>SS SPDR S&amp;P Retail (ARCX:XRT)</v>
    <v>2</v>
    <v>3</v>
    <v>Finance</v>
    <v>4</v>
    <v>91.65</v>
    <v>76.72</v>
    <v>1.1527000000000001</v>
    <v>-0.48</v>
    <v>1.0119999999999999E-3</v>
    <v>-5.3680000000000004E-3</v>
    <v>0.09</v>
    <v>USD</v>
    <v>NYSE Arca</v>
    <v>ARCX</v>
    <v>3.4999999999999996E-3</v>
    <v>90.015000000000001</v>
    <v>ETF</v>
    <v>46224.000001585155</v>
    <v>128</v>
    <v>88.74</v>
    <v>381375033.69</v>
    <v>SS SPDR S&amp;P Retail</v>
    <v>89.9</v>
    <v>89.42</v>
    <v>88.94</v>
    <v>89.03</v>
    <v>XRT</v>
    <v>SS SPDR S&amp;P Retail (ARCX:XRT)</v>
    <v>2316424</v>
    <v>4671782</v>
  </rv>
  <rv s="2">
    <v>129</v>
  </rv>
  <rv s="0">
    <v>https://www.bing.com/financeapi/forcetrigger?t=a23xqh&amp;q=ARCX%3aTAN&amp;form=skydnc</v>
    <v>Learn more on Bing</v>
  </rv>
  <rv s="1">
    <v>en-US</v>
    <v>a23xqh</v>
    <v>268435456</v>
    <v>1</v>
    <v>Powered by Refinitiv</v>
    <v>0</v>
    <v>Invesco Solar (ARCX:TAN)</v>
    <v>2</v>
    <v>3</v>
    <v>Finance</v>
    <v>4</v>
    <v>75.599999999999994</v>
    <v>35.979999999999997</v>
    <v>0.99619999999999997</v>
    <v>-1.21</v>
    <v>1.8980000000000001E-4</v>
    <v>-2.2449E-2</v>
    <v>0.01</v>
    <v>USD</v>
    <v>NYSE Arca</v>
    <v>ARCX</v>
    <v>6.9999999999999993E-3</v>
    <v>54.06</v>
    <v>ETF</v>
    <v>46224.00000157344</v>
    <v>131</v>
    <v>52.6</v>
    <v>1719587199.5899999</v>
    <v>Invesco Solar</v>
    <v>54.06</v>
    <v>53.9</v>
    <v>52.69</v>
    <v>52.7</v>
    <v>TAN</v>
    <v>Invesco Solar (ARCX:TAN)</v>
    <v>445638</v>
    <v>1135374</v>
  </rv>
  <rv s="2">
    <v>132</v>
  </rv>
  <rv s="0">
    <v>https://www.bing.com/financeapi/forcetrigger?t=a1wn3m&amp;q=ARCX%3aKRE&amp;form=skydnc</v>
    <v>Learn more on Bing</v>
  </rv>
  <rv s="1">
    <v>en-US</v>
    <v>a1wn3m</v>
    <v>268435456</v>
    <v>1</v>
    <v>Powered by Refinitiv</v>
    <v>0</v>
    <v>SS SPDR S&amp;P Reg Banking (ARCX:KRE)</v>
    <v>2</v>
    <v>3</v>
    <v>Finance</v>
    <v>4</v>
    <v>78.094999999999999</v>
    <v>57.551699999999997</v>
    <v>1.1145</v>
    <v>-0.8</v>
    <v>1.0280000000000001E-3</v>
    <v>-1.0431999999999999E-2</v>
    <v>7.8E-2</v>
    <v>USD</v>
    <v>NYSE Arca</v>
    <v>ARCX</v>
    <v>3.4999999999999996E-3</v>
    <v>76.959999999999994</v>
    <v>ETF</v>
    <v>46223.999813286719</v>
    <v>134</v>
    <v>75.67</v>
    <v>4740203357.4099998</v>
    <v>SS SPDR S&amp;P Reg Banking</v>
    <v>76.67</v>
    <v>76.69</v>
    <v>75.89</v>
    <v>75.968000000000004</v>
    <v>KRE</v>
    <v>SS SPDR S&amp;P Reg Banking (ARCX:KRE)</v>
    <v>13554415</v>
    <v>14948456</v>
  </rv>
  <rv s="2">
    <v>135</v>
  </rv>
  <rv s="0">
    <v>https://www.bing.com/financeapi/forcetrigger?t=a1v4jc&amp;q=XNAS%3aIBB&amp;form=skydnc</v>
    <v>Learn more on Bing</v>
  </rv>
  <rv s="1">
    <v>en-US</v>
    <v>a1v4jc</v>
    <v>268435456</v>
    <v>1</v>
    <v>Powered by Refinitiv</v>
    <v>0</v>
    <v>iShares:Biotechnology (XNAS:IBB)</v>
    <v>2</v>
    <v>3</v>
    <v>Finance</v>
    <v>4</v>
    <v>199.05</v>
    <v>128.84</v>
    <v>1</v>
    <v>-3.23</v>
    <v>5.3610000000000003E-5</v>
    <v>-1.7021999999999999E-2</v>
    <v>0.01</v>
    <v>USD</v>
    <v>Nasdaq Stock Market</v>
    <v>XNAS</v>
    <v>4.4000000000000003E-3</v>
    <v>191.18</v>
    <v>ETF</v>
    <v>46223.988796272657</v>
    <v>137</v>
    <v>186.47450000000001</v>
    <v>9087528994.9599991</v>
    <v>iShares:Biotechnology</v>
    <v>189.8</v>
    <v>189.76</v>
    <v>186.53</v>
    <v>186.54</v>
    <v>IBB</v>
    <v>iShares:Biotechnology (XNAS:IBB)</v>
    <v>1541176</v>
    <v>1738284</v>
  </rv>
  <rv s="2">
    <v>138</v>
  </rv>
  <rv s="0">
    <v>https://www.bing.com/financeapi/forcetrigger?t=a1zjec&amp;q=ARCX%3aPBS&amp;form=skydnc</v>
    <v>Learn more on Bing</v>
  </rv>
  <rv s="1">
    <v>en-US</v>
    <v>a1zjec</v>
    <v>268435456</v>
    <v>1</v>
    <v>Powered by Refinitiv</v>
    <v>0</v>
    <v>Invesco NxtGn Med &amp; Gmng (ARCX:GGME)</v>
    <v>2</v>
    <v>3</v>
    <v>Finance</v>
    <v>4</v>
    <v>66.180000000000007</v>
    <v>49.0246</v>
    <v>0.85470000000000002</v>
    <v>-8.5099999999999995E-2</v>
    <v>3.0719999999999996E-3</v>
    <v>-1.392E-3</v>
    <v>0.18759999999999999</v>
    <v>USD</v>
    <v>NYSE Arca</v>
    <v>ARCX</v>
    <v>6.1999999999999998E-3</v>
    <v>61.5</v>
    <v>ETF</v>
    <v>46224.000000392967</v>
    <v>140</v>
    <v>61.062399999999997</v>
    <v>43997311.740000002</v>
    <v>Invesco NxtGn Med &amp; Gmng</v>
    <v>61.5</v>
    <v>61.147500000000001</v>
    <v>61.062399999999997</v>
    <v>61.25</v>
    <v>GGME</v>
    <v>Invesco NxtGn Med &amp; Gmng (ARCX:GGME)</v>
    <v>1197</v>
    <v>3119</v>
  </rv>
  <rv s="2">
    <v>141</v>
  </rv>
  <rv s="0">
    <v>https://www.bing.com/financeapi/forcetrigger?t=a1wer7&amp;q=ARCX%3aKBE&amp;form=skydnc</v>
    <v>Learn more on Bing</v>
  </rv>
  <rv s="1">
    <v>en-US</v>
    <v>a1wer7</v>
    <v>268435456</v>
    <v>1</v>
    <v>Powered by Refinitiv</v>
    <v>0</v>
    <v>SS SPDR S&amp;P Bank ETF (ARCX:KBE)</v>
    <v>2</v>
    <v>3</v>
    <v>Finance</v>
    <v>4</v>
    <v>71.42</v>
    <v>54.42</v>
    <v>1.0013000000000001</v>
    <v>-0.75</v>
    <v>-1.4390000000000001E-6</v>
    <v>-1.0678E-2</v>
    <v>-1E-4</v>
    <v>USD</v>
    <v>NYSE Arca</v>
    <v>ARCX</v>
    <v>3.4999999999999996E-3</v>
    <v>70.55</v>
    <v>ETF</v>
    <v>46224.000000092186</v>
    <v>143</v>
    <v>69.3</v>
    <v>1480052993.8399999</v>
    <v>SS SPDR S&amp;P Bank ETF</v>
    <v>70.290000000000006</v>
    <v>70.239999999999995</v>
    <v>69.489999999999995</v>
    <v>69.489900000000006</v>
    <v>KBE</v>
    <v>SS SPDR S&amp;P Bank ETF (ARCX:KBE)</v>
    <v>2822113</v>
    <v>1800643</v>
  </rv>
  <rv s="2">
    <v>144</v>
  </rv>
  <rv s="0">
    <v>https://www.bing.com/financeapi/forcetrigger?t=a1vtr7&amp;q=BATS%3aITA&amp;form=skydnc</v>
    <v>Learn more on Bing</v>
  </rv>
  <rv s="1">
    <v>en-US</v>
    <v>a1vtr7</v>
    <v>268435456</v>
    <v>1</v>
    <v>Powered by Refinitiv</v>
    <v>0</v>
    <v>iShares:US Aer&amp;Def ETF (BATS:ITA)</v>
    <v>2</v>
    <v>3</v>
    <v>Finance</v>
    <v>11</v>
    <v>251.49</v>
    <v>190.16</v>
    <v>0.89419999999999999</v>
    <v>-1.55</v>
    <v>-3.7950000000000002E-3</v>
    <v>-6.7179999999999991E-3</v>
    <v>-0.87</v>
    <v>USD</v>
    <v>CBOE BZX Exchange</v>
    <v>BATS</v>
    <v>3.7000000000000002E-3</v>
    <v>234.14</v>
    <v>ETF</v>
    <v>46223.982029617968</v>
    <v>146</v>
    <v>228.80250000000001</v>
    <v>14444112391.809999</v>
    <v>iShares:US Aer&amp;Def ETF</v>
    <v>232.26</v>
    <v>230.73</v>
    <v>229.18</v>
    <v>228.4</v>
    <v>ITA</v>
    <v>iShares:US Aer&amp;Def ETF (BATS:ITA)</v>
    <v>773171</v>
    <v>696902</v>
  </rv>
  <rv s="2">
    <v>147</v>
  </rv>
  <rv s="0">
    <v>https://www.bing.com/financeapi/forcetrigger?t=a1w3nm&amp;q=ARCX%3aJETS&amp;form=skydnc</v>
    <v>Learn more on Bing</v>
  </rv>
  <rv s="1">
    <v>en-US</v>
    <v>a1w3nm</v>
    <v>268435456</v>
    <v>1</v>
    <v>Powered by Refinitiv</v>
    <v>0</v>
    <v>US Global Jets (ARCX:JETS)</v>
    <v>2</v>
    <v>3</v>
    <v>Finance</v>
    <v>4</v>
    <v>33.979999999999997</v>
    <v>22.905000000000001</v>
    <v>1.2477</v>
    <v>0.12</v>
    <v>3.9240000000000004E-3</v>
    <v>3.9399999999999999E-3</v>
    <v>0.12</v>
    <v>USD</v>
    <v>NYSE Arca</v>
    <v>ARCX</v>
    <v>6.0000000000000001E-3</v>
    <v>30.8689</v>
    <v>ETF</v>
    <v>46223.986923818753</v>
    <v>149</v>
    <v>30.364899999999999</v>
    <v>959064175.46000004</v>
    <v>US Global Jets</v>
    <v>30.63</v>
    <v>30.46</v>
    <v>30.58</v>
    <v>30.7</v>
    <v>JETS</v>
    <v>US Global Jets (ARCX:JETS)</v>
    <v>2283536</v>
    <v>3002413</v>
  </rv>
  <rv s="2">
    <v>150</v>
  </rv>
  <rv s="0">
    <v>https://www.bing.com/financeapi/forcetrigger?t=a26ba2&amp;q=ARCX%3aXSW&amp;form=skydnc</v>
    <v>Learn more on Bing</v>
  </rv>
  <rv s="1">
    <v>en-US</v>
    <v>a26ba2</v>
    <v>268435456</v>
    <v>1</v>
    <v>Powered by Refinitiv</v>
    <v>0</v>
    <v>SS SPDR S&amp;P Sftwre &amp; Svc (ARCX:XSW)</v>
    <v>2</v>
    <v>3</v>
    <v>Finance</v>
    <v>4</v>
    <v>205.76</v>
    <v>135.19</v>
    <v>1.1994</v>
    <v>1.095</v>
    <v>0</v>
    <v>6.1709999999999994E-3</v>
    <v>0</v>
    <v>USD</v>
    <v>NYSE Arca</v>
    <v>ARCX</v>
    <v>3.4999999999999996E-3</v>
    <v>180.85</v>
    <v>ETF</v>
    <v>46223.982062164061</v>
    <v>152</v>
    <v>175.87</v>
    <v>401827030.44999999</v>
    <v>SS SPDR S&amp;P Sftwre &amp; Svc</v>
    <v>176.24</v>
    <v>177.45</v>
    <v>178.54499999999999</v>
    <v>178.54499999999999</v>
    <v>XSW</v>
    <v>SS SPDR S&amp;P Sftwre &amp; Svc (ARCX:XSW)</v>
    <v>77791</v>
    <v>39094</v>
  </rv>
  <rv s="2">
    <v>153</v>
  </rv>
  <rv s="0">
    <v>https://www.bing.com/financeapi/forcetrigger?t=azkh9c&amp;q=BATS%3aIFRA&amp;form=skydnc</v>
    <v>Learn more on Bing</v>
  </rv>
  <rv s="1">
    <v>en-US</v>
    <v>azkh9c</v>
    <v>268435456</v>
    <v>1</v>
    <v>Powered by Refinitiv</v>
    <v>0</v>
    <v>iShares:US Infra (BATS:IFRA)</v>
    <v>2</v>
    <v>3</v>
    <v>Finance</v>
    <v>11</v>
    <v>64.25</v>
    <v>49.49</v>
    <v>0.97719999999999996</v>
    <v>-0.51</v>
    <v>4.5979999999999997E-3</v>
    <v>-8.3049999999999999E-3</v>
    <v>0.28000000000000003</v>
    <v>USD</v>
    <v>CBOE BZX Exchange</v>
    <v>BATS</v>
    <v>3.0000000000000001E-3</v>
    <v>61.875</v>
    <v>ETF</v>
    <v>46223.982031712498</v>
    <v>155</v>
    <v>60.79</v>
    <v>4618109197.04</v>
    <v>iShares:US Infra</v>
    <v>61.75</v>
    <v>61.41</v>
    <v>60.9</v>
    <v>61.17</v>
    <v>IFRA</v>
    <v>iShares:US Infra (BATS:IFRA)</v>
    <v>196500</v>
    <v>526859</v>
  </rv>
  <rv s="2">
    <v>156</v>
  </rv>
  <rv s="0">
    <v>https://www.bing.com/financeapi/forcetrigger?t=a1or9c&amp;q=XNAS%3aBOTZ&amp;form=skydnc</v>
    <v>Learn more on Bing</v>
  </rv>
  <rv s="1">
    <v>en-US</v>
    <v>a1or9c</v>
    <v>268435456</v>
    <v>1</v>
    <v>Powered by Refinitiv</v>
    <v>0</v>
    <v>Glbl X Rob &amp; Art Intel (XNAS:BOTZ)</v>
    <v>2</v>
    <v>3</v>
    <v>Finance</v>
    <v>4</v>
    <v>41.71</v>
    <v>31.875</v>
    <v>1.694</v>
    <v>-0.15</v>
    <v>6.6340000000000001E-3</v>
    <v>-4.3600000000000002E-3</v>
    <v>0.22720000000000001</v>
    <v>USD</v>
    <v>Nasdaq Stock Market</v>
    <v>XNAS</v>
    <v>6.8000000000000005E-3</v>
    <v>34.67</v>
    <v>ETF</v>
    <v>46223.999727661721</v>
    <v>158</v>
    <v>34.21</v>
    <v>3517117746.6999998</v>
    <v>Glbl X Rob &amp; Art Intel</v>
    <v>34.56</v>
    <v>34.4</v>
    <v>34.25</v>
    <v>34.477200000000003</v>
    <v>BOTZ</v>
    <v>Glbl X Rob &amp; Art Intel (XNAS:BOTZ)</v>
    <v>657946</v>
    <v>906111</v>
  </rv>
  <rv s="2">
    <v>159</v>
  </rv>
  <rv s="0">
    <v>https://www.bing.com/financeapi/forcetrigger?t=a1sq4c&amp;q=ARCX%3aFDN&amp;form=skydnc</v>
    <v>Learn more on Bing</v>
  </rv>
  <rv s="1">
    <v>en-US</v>
    <v>a1sq4c</v>
    <v>268435456</v>
    <v>1</v>
    <v>Powered by Refinitiv</v>
    <v>0</v>
    <v>FT:DJ Internet Index Fd (ARCX:FDN)</v>
    <v>2</v>
    <v>3</v>
    <v>Finance</v>
    <v>4</v>
    <v>290.91000000000003</v>
    <v>224.465</v>
    <v>1.0206</v>
    <v>0.78</v>
    <v>0</v>
    <v>2.8910000000000003E-3</v>
    <v>0</v>
    <v>USD</v>
    <v>NYSE Arca</v>
    <v>ARCX</v>
    <v>5.0000000000000001E-3</v>
    <v>273.20999999999998</v>
    <v>ETF</v>
    <v>46224.000000416403</v>
    <v>161</v>
    <v>269.62</v>
    <v>4975951522.0600004</v>
    <v>FT:DJ Internet Index Fd</v>
    <v>269.62</v>
    <v>269.76</v>
    <v>270.54000000000002</v>
    <v>270.54000000000002</v>
    <v>FDN</v>
    <v>FT:DJ Internet Index Fd (ARCX:FDN)</v>
    <v>225606</v>
    <v>280402</v>
  </rv>
  <rv s="2">
    <v>162</v>
  </rv>
  <rv s="0">
    <v>https://www.bing.com/financeapi/forcetrigger?t=a1zorw&amp;q=ARCX%3aPEJ&amp;form=skydnc</v>
    <v>Learn more on Bing</v>
  </rv>
  <rv s="1">
    <v>en-US</v>
    <v>a1zorw</v>
    <v>268435456</v>
    <v>1</v>
    <v>Powered by Refinitiv</v>
    <v>0</v>
    <v>Invesco Leisure and Ent (ARCX:PEJ)</v>
    <v>2</v>
    <v>3</v>
    <v>Finance</v>
    <v>4</v>
    <v>67.900000000000006</v>
    <v>55.66</v>
    <v>0.93310000000000004</v>
    <v>0.06</v>
    <v>0</v>
    <v>9.1340000000000008E-4</v>
    <v>0</v>
    <v>USD</v>
    <v>NYSE Arca</v>
    <v>ARCX</v>
    <v>5.6999999999999993E-3</v>
    <v>66.37</v>
    <v>ETF</v>
    <v>46223.982014039066</v>
    <v>164</v>
    <v>65.674999999999997</v>
    <v>279936291.27999997</v>
    <v>Invesco Leisure and Ent</v>
    <v>66.099999999999994</v>
    <v>65.69</v>
    <v>65.75</v>
    <v>65.75</v>
    <v>PEJ</v>
    <v>Invesco Leisure and Ent (ARCX:PEJ)</v>
    <v>37920</v>
    <v>46195</v>
  </rv>
  <rv s="2">
    <v>165</v>
  </rv>
  <rv s="0">
    <v>https://www.bing.com/financeapi/forcetrigger?t=a232h7&amp;q=XNAS%3aSKYY&amp;form=skydnc</v>
    <v>Learn more on Bing</v>
  </rv>
  <rv s="1">
    <v>en-US</v>
    <v>a232h7</v>
    <v>268435456</v>
    <v>1</v>
    <v>Powered by Refinitiv</v>
    <v>0</v>
    <v>FT II:Cloud Computing (XNAS:SKYY)</v>
    <v>2</v>
    <v>3</v>
    <v>Finance</v>
    <v>4</v>
    <v>155.75989999999999</v>
    <v>103.76</v>
    <v>1.1586000000000001</v>
    <v>0.56000000000000005</v>
    <v>0</v>
    <v>4.1149999999999997E-3</v>
    <v>0</v>
    <v>USD</v>
    <v>Nasdaq Stock Market</v>
    <v>XNAS</v>
    <v>6.0000000000000001E-3</v>
    <v>138.3425</v>
    <v>ETF</v>
    <v>46223.982042962503</v>
    <v>167</v>
    <v>135.35</v>
    <v>2719586033.6500001</v>
    <v>FT II:Cloud Computing</v>
    <v>135.43</v>
    <v>136.1</v>
    <v>136.66</v>
    <v>136.66</v>
    <v>SKYY</v>
    <v>FT II:Cloud Computing (XNAS:SKYY)</v>
    <v>581677</v>
    <v>327823</v>
  </rv>
  <rv s="2">
    <v>168</v>
  </rv>
  <rv s="0">
    <v>https://www.bing.com/financeapi/forcetrigger?t=a1ziqh&amp;q=ARCX%3aPBJ&amp;form=skydnc</v>
    <v>Learn more on Bing</v>
  </rv>
  <rv s="1">
    <v>en-US</v>
    <v>a1ziqh</v>
    <v>268435456</v>
    <v>1</v>
    <v>Powered by Refinitiv</v>
    <v>0</v>
    <v>Invesco Food &amp; Beverage (ARCX:PBJ)</v>
    <v>2</v>
    <v>3</v>
    <v>Finance</v>
    <v>4</v>
    <v>51.07</v>
    <v>42.685000000000002</v>
    <v>0.64859999999999995</v>
    <v>-7.0000000000000007E-2</v>
    <v>0</v>
    <v>-1.4399999999999999E-3</v>
    <v>0</v>
    <v>USD</v>
    <v>NYSE Arca</v>
    <v>ARCX</v>
    <v>6.0999999999999995E-3</v>
    <v>48.625</v>
    <v>ETF</v>
    <v>46223.982036214846</v>
    <v>170</v>
    <v>48.42</v>
    <v>89031551.109999999</v>
    <v>Invesco Food &amp; Beverage</v>
    <v>48.49</v>
    <v>48.61</v>
    <v>48.54</v>
    <v>48.54</v>
    <v>PBJ</v>
    <v>Invesco Food &amp; Beverage (ARCX:PBJ)</v>
    <v>9481</v>
    <v>28928</v>
  </rv>
  <rv s="2">
    <v>171</v>
  </rv>
  <rv s="0">
    <v>https://www.bing.com/financeapi/forcetrigger?t=bng4gh&amp;q=XNAS%3aESPO&amp;form=skydnc</v>
    <v>Learn more on Bing</v>
  </rv>
  <rv s="1">
    <v>en-US</v>
    <v>bng4gh</v>
    <v>268435456</v>
    <v>1</v>
    <v>Powered by Refinitiv</v>
    <v>0</v>
    <v>VanEck:VG and eSports (XNAS:ESPO)</v>
    <v>2</v>
    <v>3</v>
    <v>Finance</v>
    <v>4</v>
    <v>122.986</v>
    <v>84.93</v>
    <v>0.78390000000000004</v>
    <v>0.40160000000000001</v>
    <v>0</v>
    <v>4.4030000000000007E-3</v>
    <v>0</v>
    <v>USD</v>
    <v>Nasdaq Stock Market</v>
    <v>XNAS</v>
    <v>5.5000000000000005E-3</v>
    <v>92.44</v>
    <v>ETF</v>
    <v>46223.982033182816</v>
    <v>173</v>
    <v>91.5</v>
    <v>238752113.5</v>
    <v>VanEck:VG and eSports</v>
    <v>91.5</v>
    <v>91.208399999999997</v>
    <v>91.61</v>
    <v>91.61</v>
    <v>ESPO</v>
    <v>VanEck:VG and eSports (XNAS:ESPO)</v>
    <v>4578</v>
    <v>13983</v>
  </rv>
  <rv s="2">
    <v>174</v>
  </rv>
  <rv s="0">
    <v>https://www.bing.com/financeapi/forcetrigger?t=a1vf2w&amp;q=ARCX%3aIHF&amp;form=skydnc</v>
    <v>Learn more on Bing</v>
  </rv>
  <rv s="1">
    <v>en-US</v>
    <v>a1vf2w</v>
    <v>268435456</v>
    <v>1</v>
    <v>Powered by Refinitiv</v>
    <v>0</v>
    <v>iShares:US HC Prvd ETF (ARCX:IHF)</v>
    <v>2</v>
    <v>3</v>
    <v>Finance</v>
    <v>4</v>
    <v>58.3</v>
    <v>40.57</v>
    <v>1.1052</v>
    <v>-0.18</v>
    <v>0</v>
    <v>-3.1780000000000003E-3</v>
    <v>0</v>
    <v>USD</v>
    <v>NYSE Arca</v>
    <v>ARCX</v>
    <v>3.7000000000000002E-3</v>
    <v>56.97</v>
    <v>ETF</v>
    <v>46223.982012685155</v>
    <v>176</v>
    <v>56.28</v>
    <v>1178385091.55</v>
    <v>iShares:US HC Prvd ETF</v>
    <v>56.63</v>
    <v>56.64</v>
    <v>56.46</v>
    <v>56.46</v>
    <v>IHF</v>
    <v>iShares:US HC Prvd ETF (ARCX:IHF)</v>
    <v>571619</v>
    <v>512180</v>
  </rv>
  <rv s="2">
    <v>177</v>
  </rv>
  <rv s="0">
    <v>https://www.bing.com/financeapi/forcetrigger?t=a1v3yc&amp;q=ARCX%3aIAI&amp;form=skydnc</v>
    <v>Learn more on Bing</v>
  </rv>
  <rv s="1">
    <v>en-US</v>
    <v>a1v3yc</v>
    <v>268435456</v>
    <v>1</v>
    <v>Powered by Refinitiv</v>
    <v>0</v>
    <v>iShares:US BD &amp; SE ETF (ARCX:IAI)</v>
    <v>2</v>
    <v>3</v>
    <v>Finance</v>
    <v>4</v>
    <v>196.44</v>
    <v>157.78</v>
    <v>1.2182999999999999</v>
    <v>-0.63580000000000003</v>
    <v>3.0890000000000004E-5</v>
    <v>-3.3750000000000004E-3</v>
    <v>5.7999999999999996E-3</v>
    <v>USD</v>
    <v>NYSE Arca</v>
    <v>ARCX</v>
    <v>3.7000000000000002E-3</v>
    <v>189.44</v>
    <v>ETF</v>
    <v>46224.000001446097</v>
    <v>179</v>
    <v>187.1</v>
    <v>1333200818.74</v>
    <v>iShares:US BD &amp; SE ETF</v>
    <v>188.76</v>
    <v>188.37</v>
    <v>187.73419999999999</v>
    <v>187.74</v>
    <v>IAI</v>
    <v>iShares:US BD &amp; SE ETF (ARCX:IAI)</v>
    <v>114037</v>
    <v>86699</v>
  </rv>
  <rv s="2">
    <v>180</v>
  </rv>
  <rv s="0">
    <v>https://www.bing.com/financeapi/forcetrigger?t=a1vf8m&amp;q=ARCX%3aIHI&amp;form=skydnc</v>
    <v>Learn more on Bing</v>
  </rv>
  <rv s="1">
    <v>en-US</v>
    <v>a1vf8m</v>
    <v>268435456</v>
    <v>1</v>
    <v>Powered by Refinitiv</v>
    <v>0</v>
    <v>iShares:US Med Dev ETF (ARCX:IHI)</v>
    <v>2</v>
    <v>3</v>
    <v>Finance</v>
    <v>4</v>
    <v>64.709999999999994</v>
    <v>47.365000000000002</v>
    <v>0.92800000000000005</v>
    <v>7.0000000000000007E-2</v>
    <v>-1.5820000000000001E-3</v>
    <v>1.3860000000000001E-3</v>
    <v>-0.08</v>
    <v>USD</v>
    <v>NYSE Arca</v>
    <v>ARCX</v>
    <v>3.7000000000000002E-3</v>
    <v>50.9</v>
    <v>ETF</v>
    <v>46224.00000157344</v>
    <v>182</v>
    <v>50.215000000000003</v>
    <v>3023981042.6199999</v>
    <v>iShares:US Med Dev ETF</v>
    <v>50.6</v>
    <v>50.51</v>
    <v>50.58</v>
    <v>50.5</v>
    <v>IHI</v>
    <v>iShares:US Med Dev ETF (ARCX:IHI)</v>
    <v>2874102</v>
    <v>3260412</v>
  </rv>
  <rv s="2">
    <v>183</v>
  </rv>
  <rv s="0">
    <v>https://www.bing.com/financeapi/forcetrigger?t=a1wicw&amp;q=ARCX%3aKIE&amp;form=skydnc</v>
    <v>Learn more on Bing</v>
  </rv>
  <rv s="1">
    <v>en-US</v>
    <v>a1wicw</v>
    <v>268435456</v>
    <v>1</v>
    <v>Powered by Refinitiv</v>
    <v>0</v>
    <v>SS SPDR S&amp;P Insurance (ARCX:KIE)</v>
    <v>2</v>
    <v>3</v>
    <v>Finance</v>
    <v>4</v>
    <v>65.2</v>
    <v>53.445</v>
    <v>0.99270000000000003</v>
    <v>-0.06</v>
    <v>-1.7160000000000001E-3</v>
    <v>-9.3499999999999996E-4</v>
    <v>-0.11</v>
    <v>USD</v>
    <v>NYSE Arca</v>
    <v>ARCX</v>
    <v>3.4999999999999996E-3</v>
    <v>64.47</v>
    <v>ETF</v>
    <v>46224.000001666405</v>
    <v>185</v>
    <v>63.954999999999998</v>
    <v>457443945.41000003</v>
    <v>SS SPDR S&amp;P Insurance</v>
    <v>64.069999999999993</v>
    <v>64.17</v>
    <v>64.11</v>
    <v>64</v>
    <v>KIE</v>
    <v>SS SPDR S&amp;P Insurance (ARCX:KIE)</v>
    <v>856538</v>
    <v>1457864</v>
  </rv>
  <rv s="2">
    <v>186</v>
  </rv>
  <rv s="0">
    <v>https://www.bing.com/financeapi/forcetrigger?t=bvn2mw&amp;q=ARCX%3aMSOS&amp;form=skydnc</v>
    <v>Learn more on Bing</v>
  </rv>
  <rv s="1">
    <v>en-US</v>
    <v>bvn2mw</v>
    <v>268435456</v>
    <v>1</v>
    <v>Powered by Refinitiv</v>
    <v>0</v>
    <v>AdvsrShs Pure USCannabis (ARCX:MSOS)</v>
    <v>2</v>
    <v>3</v>
    <v>Finance</v>
    <v>4</v>
    <v>7.25</v>
    <v>2.5099999999999998</v>
    <v>0.92500000000000004</v>
    <v>-0.03</v>
    <v>8.4650000000000003E-3</v>
    <v>-6.7259999999999993E-3</v>
    <v>3.7499999999999999E-2</v>
    <v>USD</v>
    <v>NYSE Arca</v>
    <v>ARCX</v>
    <v>7.8000000000000005E-3</v>
    <v>4.5</v>
    <v>ETF</v>
    <v>46223.982187916408</v>
    <v>188</v>
    <v>4.3600000000000003</v>
    <v>1047458706.3200001</v>
    <v>AdvsrShs Pure USCannabis</v>
    <v>4.49</v>
    <v>4.46</v>
    <v>4.43</v>
    <v>4.4675000000000002</v>
    <v>MSOS</v>
    <v>AdvsrShs Pure USCannabis (ARCX:MSOS)</v>
    <v>2611772</v>
    <v>6390151</v>
  </rv>
  <rv s="2">
    <v>189</v>
  </rv>
  <rv s="0">
    <v>https://www.bing.com/financeapi/forcetrigger?t=a23dhw&amp;q=ARCX%3aSPHB&amp;form=skydnc</v>
    <v>Learn more on Bing</v>
  </rv>
  <rv s="1">
    <v>en-US</v>
    <v>a23dhw</v>
    <v>268435456</v>
    <v>1</v>
    <v>Powered by Refinitiv</v>
    <v>0</v>
    <v>Invesco S&amp;P500 Hi Be (ARCX:SPHB)</v>
    <v>2</v>
    <v>3</v>
    <v>Finance</v>
    <v>4</v>
    <v>157.57</v>
    <v>98.85</v>
    <v>1.5424</v>
    <v>-0.33</v>
    <v>0</v>
    <v>-2.3410000000000002E-3</v>
    <v>0</v>
    <v>USD</v>
    <v>NYSE Arca</v>
    <v>ARCX</v>
    <v>2.5000000000000001E-3</v>
    <v>142.97</v>
    <v>ETF</v>
    <v>46223.982018125003</v>
    <v>191</v>
    <v>140.41999999999999</v>
    <v>1058274484.1799999</v>
    <v>Invesco S&amp;P500 Hi Be</v>
    <v>142.52000000000001</v>
    <v>140.94</v>
    <v>140.61000000000001</v>
    <v>140.61000000000001</v>
    <v>SPHB</v>
    <v>Invesco S&amp;P500 Hi Be (ARCX:SPHB)</v>
    <v>352972</v>
    <v>375022</v>
  </rv>
  <rv s="2">
    <v>192</v>
  </rv>
  <rv s="0">
    <v>https://www.bing.com/financeapi/forcetrigger?t=a23hw7&amp;q=ARCX%3aSPYD&amp;form=skydnc</v>
    <v>Learn more on Bing</v>
  </rv>
  <rv s="1">
    <v>en-US</v>
    <v>a23hw7</v>
    <v>268435456</v>
    <v>1</v>
    <v>Powered by Refinitiv</v>
    <v>0</v>
    <v>SS SPDR Ptf S&amp;P 500 HgDv (ARCX:SPYD)</v>
    <v>2</v>
    <v>3</v>
    <v>Finance</v>
    <v>4</v>
    <v>50.25</v>
    <v>41.87</v>
    <v>0.8589</v>
    <v>-0.2</v>
    <v>2.846E-3</v>
    <v>-4.0489999999999996E-3</v>
    <v>0.14000000000000001</v>
    <v>USD</v>
    <v>NYSE Arca</v>
    <v>ARCX</v>
    <v>7.000000000000001E-4</v>
    <v>49.451099999999997</v>
    <v>ETF</v>
    <v>46224.000001365624</v>
    <v>194</v>
    <v>49.0809</v>
    <v>7374172067.5900002</v>
    <v>SS SPDR Ptf S&amp;P 500 HgDv</v>
    <v>49.4</v>
    <v>49.39</v>
    <v>49.19</v>
    <v>49.33</v>
    <v>SPYD</v>
    <v>SS SPDR Ptf S&amp;P 500 HgDv (ARCX:SPYD)</v>
    <v>889826</v>
    <v>1109410</v>
  </rv>
  <rv s="2">
    <v>195</v>
  </rv>
  <rv s="0">
    <v>https://www.bing.com/financeapi/forcetrigger?t=a23dkr&amp;q=ARCX%3aSPHD&amp;form=skydnc</v>
    <v>Learn more on Bing</v>
  </rv>
  <rv s="1">
    <v>en-US</v>
    <v>a23dkr</v>
    <v>268435456</v>
    <v>1</v>
    <v>Powered by Refinitiv</v>
    <v>0</v>
    <v>Invesco S&amp;P500 HD LV (ARCX:SPHD)</v>
    <v>2</v>
    <v>3</v>
    <v>Finance</v>
    <v>4</v>
    <v>53.96</v>
    <v>46.58</v>
    <v>0.84740000000000004</v>
    <v>-0.26500000000000001</v>
    <v>8.5889999999999994E-3</v>
    <v>-5.0329999999999993E-3</v>
    <v>0.45</v>
    <v>USD</v>
    <v>NYSE Arca</v>
    <v>ARCX</v>
    <v>3.0000000000000001E-3</v>
    <v>52.7</v>
    <v>ETF</v>
    <v>46223.99604125</v>
    <v>197</v>
    <v>52.29</v>
    <v>3312139569.46</v>
    <v>Invesco S&amp;P500 HD LV</v>
    <v>52.62</v>
    <v>52.655000000000001</v>
    <v>52.39</v>
    <v>52.84</v>
    <v>SPHD</v>
    <v>Invesco S&amp;P500 HD LV (ARCX:SPHD)</v>
    <v>674617</v>
    <v>846138</v>
  </rv>
  <rv s="2">
    <v>198</v>
  </rv>
  <rv s="0">
    <v>https://www.bing.com/financeapi/forcetrigger?t=a228nm&amp;q=ARCX%3aRPV&amp;form=skydnc</v>
    <v>Learn more on Bing</v>
  </rv>
  <rv s="1">
    <v>en-US</v>
    <v>a228nm</v>
    <v>268435456</v>
    <v>1</v>
    <v>Powered by Refinitiv</v>
    <v>0</v>
    <v>Invesco S&amp;P500 Pre V (ARCX:RPV)</v>
    <v>2</v>
    <v>3</v>
    <v>Finance</v>
    <v>4</v>
    <v>119.74</v>
    <v>90.3</v>
    <v>0.82550000000000001</v>
    <v>-0.4</v>
    <v>-2.885E-3</v>
    <v>-3.3829999999999997E-3</v>
    <v>-0.34</v>
    <v>USD</v>
    <v>NYSE Arca</v>
    <v>ARCX</v>
    <v>3.4999999999999996E-3</v>
    <v>118.3</v>
    <v>ETF</v>
    <v>46223.982015520312</v>
    <v>200</v>
    <v>117.8</v>
    <v>1509237946.47</v>
    <v>Invesco S&amp;P500 Pre V</v>
    <v>118.3</v>
    <v>118.24</v>
    <v>117.84</v>
    <v>117.5</v>
    <v>RPV</v>
    <v>Invesco S&amp;P500 Pre V (ARCX:RPV)</v>
    <v>201221</v>
    <v>192718</v>
  </rv>
  <rv s="2">
    <v>201</v>
  </rv>
  <rv s="0">
    <v>https://www.bing.com/financeapi/forcetrigger?t=a21har&amp;q=ARCX%3aSPGP&amp;form=skydnc</v>
    <v>Learn more on Bing</v>
  </rv>
  <rv s="1">
    <v>en-US</v>
    <v>a21har</v>
    <v>268435456</v>
    <v>1</v>
    <v>Powered by Refinitiv</v>
    <v>0</v>
    <v>Invesco S&amp;P 500 GARP (ARCX:SPGP)</v>
    <v>2</v>
    <v>3</v>
    <v>Finance</v>
    <v>4</v>
    <v>125.47</v>
    <v>103.86</v>
    <v>0.83520000000000005</v>
    <v>-0.14499999999999999</v>
    <v>0</v>
    <v>-1.1799999999999998E-3</v>
    <v>0</v>
    <v>USD</v>
    <v>NYSE Arca</v>
    <v>ARCX</v>
    <v>3.5999999999999999E-3</v>
    <v>123.34</v>
    <v>ETF</v>
    <v>46224.000001388282</v>
    <v>203</v>
    <v>122.521</v>
    <v>2188526734.2199998</v>
    <v>Invesco S&amp;P 500 GARP</v>
    <v>123.15</v>
    <v>122.87</v>
    <v>122.72499999999999</v>
    <v>122.72499999999999</v>
    <v>SPGP</v>
    <v>Invesco S&amp;P 500 GARP (ARCX:SPGP)</v>
    <v>76844</v>
    <v>75426</v>
  </rv>
  <rv s="2">
    <v>204</v>
  </rv>
  <rv s="0">
    <v>https://www.bing.com/financeapi/forcetrigger?t=a23i2w&amp;q=ARCX%3aSPYV&amp;form=skydnc</v>
    <v>Learn more on Bing</v>
  </rv>
  <rv s="1">
    <v>en-US</v>
    <v>a23i2w</v>
    <v>268435456</v>
    <v>1</v>
    <v>Powered by Refinitiv</v>
    <v>0</v>
    <v>SS SPDR Ptf S&amp;P 500 Val (ARCX:SPYV)</v>
    <v>2</v>
    <v>3</v>
    <v>Finance</v>
    <v>4</v>
    <v>62.55</v>
    <v>51.97</v>
    <v>0.99819999999999998</v>
    <v>-0.4</v>
    <v>1.6249999999999999E-4</v>
    <v>-6.4600000000000005E-3</v>
    <v>0.01</v>
    <v>USD</v>
    <v>NYSE Arca</v>
    <v>ARCX</v>
    <v>4.0000000000000002E-4</v>
    <v>62.03</v>
    <v>ETF</v>
    <v>46223.982079409376</v>
    <v>206</v>
    <v>61.494999999999997</v>
    <v>35300091045.860001</v>
    <v>SS SPDR Ptf S&amp;P 500 Val</v>
    <v>62.01</v>
    <v>61.92</v>
    <v>61.52</v>
    <v>61.53</v>
    <v>SPYV</v>
    <v>SS SPDR Ptf S&amp;P 500 Val (ARCX:SPYV)</v>
    <v>1607369</v>
    <v>2106557</v>
  </rv>
  <rv s="2">
    <v>207</v>
  </rv>
  <rv s="0">
    <v>https://www.bing.com/financeapi/forcetrigger?t=a1vxww&amp;q=ARCX%3aIWV&amp;form=skydnc</v>
    <v>Learn more on Bing</v>
  </rv>
  <rv s="1">
    <v>en-US</v>
    <v>a1vxww</v>
    <v>268435456</v>
    <v>1</v>
    <v>Powered by Refinitiv</v>
    <v>0</v>
    <v>iShares:Russell 3000 (ARCX:IWV)</v>
    <v>2</v>
    <v>3</v>
    <v>Finance</v>
    <v>4</v>
    <v>431.32</v>
    <v>351.69</v>
    <v>0.99990000000000001</v>
    <v>-1.01</v>
    <v>0</v>
    <v>-2.385E-3</v>
    <v>0</v>
    <v>USD</v>
    <v>NYSE Arca</v>
    <v>ARCX</v>
    <v>2E-3</v>
    <v>426.19</v>
    <v>ETF</v>
    <v>46224.000000485939</v>
    <v>209</v>
    <v>422.16</v>
    <v>19473277783.540001</v>
    <v>iShares:Russell 3000</v>
    <v>425.19</v>
    <v>423.41</v>
    <v>422.4</v>
    <v>422.4</v>
    <v>IWV</v>
    <v>iShares:Russell 3000 (ARCX:IWV)</v>
    <v>258283</v>
    <v>210838</v>
  </rv>
  <rv s="2">
    <v>210</v>
  </rv>
  <rv s="0">
    <v>https://www.bing.com/financeapi/forcetrigger?t=a1yndm&amp;q=BATS%3aNOBL&amp;form=skydnc</v>
    <v>Learn more on Bing</v>
  </rv>
  <rv s="1">
    <v>en-US</v>
    <v>a1yndm</v>
    <v>268435456</v>
    <v>1</v>
    <v>Powered by Refinitiv</v>
    <v>0</v>
    <v>ProShares:S&amp;P 500 Dv Art (BATS:NOBL)</v>
    <v>2</v>
    <v>3</v>
    <v>Finance</v>
    <v>11</v>
    <v>58.07</v>
    <v>50.115000000000002</v>
    <v>0.93630000000000002</v>
    <v>-0.41499999999999998</v>
    <v>2.8299999999999996E-3</v>
    <v>-7.2899999999999996E-3</v>
    <v>0.16</v>
    <v>USD</v>
    <v>CBOE BZX Exchange</v>
    <v>BATS</v>
    <v>3.4999999999999996E-3</v>
    <v>57.03</v>
    <v>ETF</v>
    <v>46223.98202805547</v>
    <v>212</v>
    <v>56.45</v>
    <v>11533949955.620001</v>
    <v>ProShares:S&amp;P 500 Dv Art</v>
    <v>57</v>
    <v>56.93</v>
    <v>56.515000000000001</v>
    <v>56.7</v>
    <v>NOBL</v>
    <v>ProShares:S&amp;P 500 Dv Art (BATS:NOBL)</v>
    <v>898982</v>
    <v>1252748</v>
  </rv>
  <rv s="2">
    <v>213</v>
  </rv>
  <rv s="0">
    <v>https://www.bing.com/financeapi/forcetrigger?t=a23goc&amp;q=ARCX%3aSPVU&amp;form=skydnc</v>
    <v>Learn more on Bing</v>
  </rv>
  <rv s="1">
    <v>en-US</v>
    <v>a23goc</v>
    <v>268435456</v>
    <v>1</v>
    <v>Powered by Refinitiv</v>
    <v>0</v>
    <v>Invesco S&amp;P500 Con QVM (ARCX:QVMT)</v>
    <v>2</v>
    <v>3</v>
    <v>Finance</v>
    <v>4</v>
    <v>69.915000000000006</v>
    <v>50.0593</v>
    <v>1.0279</v>
    <v>-0.11169999999999999</v>
    <v>1.31E-3</v>
    <v>-1.712E-3</v>
    <v>8.5300000000000001E-2</v>
    <v>USD</v>
    <v>NYSE Arca</v>
    <v>ARCX</v>
    <v>1.2999999999999999E-3</v>
    <v>65.819999999999993</v>
    <v>ETF</v>
    <v>46224.000001168752</v>
    <v>215</v>
    <v>65.119699999999995</v>
    <v>139686915.91</v>
    <v>Invesco S&amp;P500 Con QVM</v>
    <v>65.819999999999993</v>
    <v>65.231399999999994</v>
    <v>65.119699999999995</v>
    <v>65.204999999999998</v>
    <v>QVMT</v>
    <v>Invesco S&amp;P500 Con QVM (ARCX:QVMT)</v>
    <v>27930</v>
    <v>13752</v>
  </rv>
  <rv s="2">
    <v>216</v>
  </rv>
  <rv s="0">
    <v>https://www.bing.com/financeapi/forcetrigger?t=a229vh&amp;q=ARCX%3aRSP&amp;form=skydnc</v>
    <v>Learn more on Bing</v>
  </rv>
  <rv s="1">
    <v>en-US</v>
    <v>a229vh</v>
    <v>268435456</v>
    <v>1</v>
    <v>Powered by Refinitiv</v>
    <v>0</v>
    <v>Invesco S&amp;P500 EWght (ARCX:RSP)</v>
    <v>2</v>
    <v>3</v>
    <v>Finance</v>
    <v>4</v>
    <v>216.37</v>
    <v>179.94479999999999</v>
    <v>0.88580000000000003</v>
    <v>-0.95</v>
    <v>3.7659999999999999E-4</v>
    <v>-4.4520000000000002E-3</v>
    <v>0.08</v>
    <v>USD</v>
    <v>NYSE Arca</v>
    <v>ARCX</v>
    <v>2E-3</v>
    <v>214</v>
    <v>ETF</v>
    <v>46224.00000070547</v>
    <v>218</v>
    <v>212.11</v>
    <v>93862183151.919998</v>
    <v>Invesco S&amp;P500 EWght</v>
    <v>213.87</v>
    <v>213.37</v>
    <v>212.42</v>
    <v>212.5</v>
    <v>RSP</v>
    <v>Invesco S&amp;P500 EWght (ARCX:RSP)</v>
    <v>6432982</v>
    <v>9992074</v>
  </rv>
  <rv s="2">
    <v>219</v>
  </rv>
  <rv s="0">
    <v>https://www.bing.com/financeapi/forcetrigger?t=a23eyc&amp;q=ARCX%3aSPMO&amp;form=skydnc</v>
    <v>Learn more on Bing</v>
  </rv>
  <rv s="1">
    <v>en-US</v>
    <v>a23eyc</v>
    <v>268435456</v>
    <v>1</v>
    <v>Powered by Refinitiv</v>
    <v>0</v>
    <v>Invesco S&amp;P500 Momnt (ARCX:SPMO)</v>
    <v>2</v>
    <v>3</v>
    <v>Finance</v>
    <v>4</v>
    <v>162.30000000000001</v>
    <v>107.24</v>
    <v>1.0267999999999999</v>
    <v>0.63</v>
    <v>2.2829999999999999E-3</v>
    <v>4.3779999999999999E-3</v>
    <v>0.33</v>
    <v>USD</v>
    <v>NYSE Arca</v>
    <v>ARCX</v>
    <v>1.2999999999999999E-3</v>
    <v>147.44999999999999</v>
    <v>ETF</v>
    <v>46224.000001191409</v>
    <v>221</v>
    <v>144.26</v>
    <v>22736997155.369999</v>
    <v>Invesco S&amp;P500 Momnt</v>
    <v>146.01</v>
    <v>143.88999999999999</v>
    <v>144.52000000000001</v>
    <v>144.85</v>
    <v>SPMO</v>
    <v>Invesco S&amp;P500 Momnt (ARCX:SPMO)</v>
    <v>1907537</v>
    <v>2433088</v>
  </rv>
  <rv s="2">
    <v>222</v>
  </rv>
  <rv s="0">
    <v>https://www.bing.com/financeapi/forcetrigger?t=a22ckr&amp;q=ARCX%3aRWL&amp;form=skydnc</v>
    <v>Learn more on Bing</v>
  </rv>
  <rv s="1">
    <v>en-US</v>
    <v>a22ckr</v>
    <v>268435456</v>
    <v>1</v>
    <v>Powered by Refinitiv</v>
    <v>0</v>
    <v>Invesco S&amp;P 500 Revenue (ARCX:RWL)</v>
    <v>2</v>
    <v>3</v>
    <v>Finance</v>
    <v>4</v>
    <v>131.56</v>
    <v>101.8</v>
    <v>0.90280000000000005</v>
    <v>-0.55000000000000004</v>
    <v>0</v>
    <v>-4.2199999999999998E-3</v>
    <v>0</v>
    <v>USD</v>
    <v>NYSE Arca</v>
    <v>ARCX</v>
    <v>3.9000000000000003E-3</v>
    <v>130.68</v>
    <v>ETF</v>
    <v>46224.00000157344</v>
    <v>224</v>
    <v>129.66999999999999</v>
    <v>9220293622.2099991</v>
    <v>Invesco S&amp;P 500 Revenue</v>
    <v>130.54</v>
    <v>130.33000000000001</v>
    <v>129.78</v>
    <v>129.78</v>
    <v>RWL</v>
    <v>Invesco S&amp;P 500 Revenue (ARCX:RWL)</v>
    <v>153122</v>
    <v>272015</v>
  </rv>
  <rv s="2">
    <v>225</v>
  </rv>
  <rv s="0">
    <v>https://www.bing.com/financeapi/forcetrigger?t=a1zxlh&amp;q=XNAS%3aPKW&amp;form=skydnc</v>
    <v>Learn more on Bing</v>
  </rv>
  <rv s="1">
    <v>en-US</v>
    <v>a1zxlh</v>
    <v>268435456</v>
    <v>1</v>
    <v>Powered by Refinitiv</v>
    <v>0</v>
    <v>Invesco Bybck Ach (XNAS:PKW)</v>
    <v>2</v>
    <v>3</v>
    <v>Finance</v>
    <v>4</v>
    <v>145.465</v>
    <v>122.9641</v>
    <v>0.82150000000000001</v>
    <v>-0.72529999999999994</v>
    <v>-5.1199999999999998E-4</v>
    <v>-5.0270000000000002E-3</v>
    <v>-7.3499999999999996E-2</v>
    <v>USD</v>
    <v>Nasdaq Stock Market</v>
    <v>XNAS</v>
    <v>6.1999999999999998E-3</v>
    <v>144.87</v>
    <v>ETF</v>
    <v>46223.982069976562</v>
    <v>227</v>
    <v>143.49</v>
    <v>1662445593.96</v>
    <v>Invesco Bybck Ach</v>
    <v>144.87</v>
    <v>144.28880000000001</v>
    <v>143.5635</v>
    <v>143.49</v>
    <v>PKW</v>
    <v>Invesco Bybck Ach (XNAS:PKW)</v>
    <v>13173</v>
    <v>21604</v>
  </rv>
  <rv s="2">
    <v>228</v>
  </rv>
  <rv s="0">
    <v>https://www.bing.com/financeapi/forcetrigger?t=a21hdm&amp;q=ARCX%3aSPVM&amp;form=skydnc</v>
    <v>Learn more on Bing</v>
  </rv>
  <rv s="1">
    <v>en-US</v>
    <v>a21hdm</v>
    <v>268435456</v>
    <v>1</v>
    <v>Powered by Refinitiv</v>
    <v>0</v>
    <v>Invesco S&amp;P 500 VM (ARCX:SPVM)</v>
    <v>2</v>
    <v>3</v>
    <v>Finance</v>
    <v>4</v>
    <v>77.674999999999997</v>
    <v>60.47</v>
    <v>0.94940000000000002</v>
    <v>-0.33350000000000002</v>
    <v>3.0810000000000001E-4</v>
    <v>-4.3540000000000002E-3</v>
    <v>2.35E-2</v>
    <v>USD</v>
    <v>NYSE Arca</v>
    <v>ARCX</v>
    <v>3.9000000000000003E-3</v>
    <v>76.7</v>
    <v>ETF</v>
    <v>46224.000001503904</v>
    <v>230</v>
    <v>76.22</v>
    <v>114494859.51000001</v>
    <v>Invesco S&amp;P 500 VM</v>
    <v>76.540000000000006</v>
    <v>76.599999999999994</v>
    <v>76.266499999999994</v>
    <v>76.290000000000006</v>
    <v>SPVM</v>
    <v>Invesco S&amp;P 500 VM (ARCX:SPVM)</v>
    <v>5540</v>
    <v>13136</v>
  </rv>
  <rv s="2">
    <v>231</v>
  </rv>
  <rv s="0">
    <v>https://www.bing.com/financeapi/forcetrigger?t=a21nw7&amp;q=BATS%3aQUAL&amp;form=skydnc</v>
    <v>Learn more on Bing</v>
  </rv>
  <rv s="1">
    <v>en-US</v>
    <v>a21nw7</v>
    <v>268435456</v>
    <v>1</v>
    <v>Powered by Refinitiv</v>
    <v>0</v>
    <v>iShares:MSCI USA QF (BATS:QUAL)</v>
    <v>2</v>
    <v>3</v>
    <v>Finance</v>
    <v>11</v>
    <v>221.16</v>
    <v>181.65</v>
    <v>0.90500000000000003</v>
    <v>-0.96</v>
    <v>0</v>
    <v>-4.4060000000000002E-3</v>
    <v>0</v>
    <v>USD</v>
    <v>CBOE BZX Exchange</v>
    <v>BATS</v>
    <v>1.5E-3</v>
    <v>218.63</v>
    <v>ETF</v>
    <v>46223.98202308984</v>
    <v>233</v>
    <v>216.85</v>
    <v>45917486851.639999</v>
    <v>iShares:MSCI USA QF</v>
    <v>218.53</v>
    <v>217.87</v>
    <v>216.91</v>
    <v>216.94</v>
    <v>QUAL</v>
    <v>iShares:MSCI USA QF (BATS:QUAL)</v>
    <v>735697</v>
    <v>1394500</v>
  </rv>
  <rv s="2">
    <v>234</v>
  </rv>
  <rv s="0">
    <v>https://www.bing.com/financeapi/forcetrigger?t=a2289c&amp;q=ARCX%3aRPG&amp;form=skydnc</v>
    <v>Learn more on Bing</v>
  </rv>
  <rv s="1">
    <v>en-US</v>
    <v>a2289c</v>
    <v>268435456</v>
    <v>1</v>
    <v>Powered by Refinitiv</v>
    <v>0</v>
    <v>Invesco S&amp;P500 Pr Gr (ARCX:RPG)</v>
    <v>2</v>
    <v>3</v>
    <v>Finance</v>
    <v>4</v>
    <v>64.055000000000007</v>
    <v>43.41</v>
    <v>1.2116</v>
    <v>0.19</v>
    <v>3.5310000000000002E-6</v>
    <v>3.3660000000000001E-3</v>
    <v>2.0000000000000001E-4</v>
    <v>USD</v>
    <v>NYSE Arca</v>
    <v>ARCX</v>
    <v>3.4999999999999996E-3</v>
    <v>57.68</v>
    <v>ETF</v>
    <v>46224.000001631248</v>
    <v>236</v>
    <v>56.59</v>
    <v>2332278700.98</v>
    <v>Invesco S&amp;P500 Pr Gr</v>
    <v>57.15</v>
    <v>56.45</v>
    <v>56.64</v>
    <v>56.6402</v>
    <v>RPG</v>
    <v>Invesco S&amp;P500 Pr Gr (ARCX:RPG)</v>
    <v>393509</v>
    <v>721986</v>
  </rv>
  <rv s="2">
    <v>237</v>
  </rv>
  <rv s="0">
    <v>https://www.bing.com/financeapi/forcetrigger?t=a23f27&amp;q=BATS%3aSPMV&amp;form=skydnc</v>
    <v>Learn more on Bing</v>
  </rv>
  <rv s="6">
    <v>en-US</v>
    <v>a23f27</v>
    <v>268435456</v>
    <v>1</v>
    <v>1</v>
    <v>Powered by Refinitiv</v>
    <v>13</v>
    <v>Invesco S&amp;P500 MV (BATS:SPMV)</v>
    <v>2</v>
    <v>3</v>
    <v>Finance</v>
    <v>11</v>
    <v>48.247500000000002</v>
    <v>42.382199999999997</v>
    <v>0.75670000000000004</v>
    <v>-0.24060000000000001</v>
    <v>0</v>
    <v>-5.0130000000000001E-3</v>
    <v>0</v>
    <v>USD</v>
    <v>CBOE BZX Exchange</v>
    <v>BATS</v>
    <v>1E-3</v>
    <v>47.752600000000001</v>
    <v>ETF</v>
    <v>45817.937565115622</v>
    <v>239</v>
    <v>47.63</v>
    <v>3808145.09</v>
    <v>Invesco S&amp;P500 MV</v>
    <v>47.63</v>
    <v>47.993200000000002</v>
    <v>47.752600000000001</v>
    <v>47.752600000000001</v>
    <v>SPMV</v>
    <v>Invesco S&amp;P500 MV (BATS:SPMV)</v>
    <v>128</v>
    <v>194</v>
  </rv>
  <rv s="2">
    <v>240</v>
  </rv>
  <rv s="0">
    <v>https://www.bing.com/financeapi/forcetrigger?t=a23epr&amp;q=ARCX%3aSPLV&amp;form=skydnc</v>
    <v>Learn more on Bing</v>
  </rv>
  <rv s="1">
    <v>en-US</v>
    <v>a23epr</v>
    <v>268435456</v>
    <v>1</v>
    <v>Powered by Refinitiv</v>
    <v>0</v>
    <v>Invesco S&amp;P500 LowVl (ARCX:SPLV)</v>
    <v>2</v>
    <v>3</v>
    <v>Finance</v>
    <v>4</v>
    <v>78.069999999999993</v>
    <v>69.63</v>
    <v>0.66149999999999998</v>
    <v>-0.33900000000000002</v>
    <v>-1.9710000000000001E-3</v>
    <v>-4.4349999999999997E-3</v>
    <v>-0.15</v>
    <v>USD</v>
    <v>NYSE Arca</v>
    <v>ARCX</v>
    <v>2.5000000000000001E-3</v>
    <v>76.59</v>
    <v>ETF</v>
    <v>46224.000001631248</v>
    <v>242</v>
    <v>75.95</v>
    <v>7055530637.2299995</v>
    <v>Invesco S&amp;P500 LowVl</v>
    <v>76.42</v>
    <v>76.429000000000002</v>
    <v>76.09</v>
    <v>75.94</v>
    <v>SPLV</v>
    <v>Invesco S&amp;P500 LowVl (ARCX:SPLV)</v>
    <v>1540099</v>
    <v>2489462</v>
  </rv>
  <rv s="2">
    <v>243</v>
  </rv>
  <rv s="0">
    <v>https://www.bing.com/financeapi/forcetrigger?t=a24kar&amp;q=XNAS%3aTSLA&amp;form=skydnc</v>
    <v>Learn more on Bing</v>
  </rv>
  <rv s="7">
    <v>en-US</v>
    <v>a24kar</v>
    <v>268435456</v>
    <v>1</v>
    <v>Powered by Refinitiv</v>
    <v>14</v>
    <v>TESLA, INC. (XNAS:TSLA)</v>
    <v>15</v>
    <v>16</v>
    <v>Finance</v>
    <v>17</v>
    <v>498.83</v>
    <v>297.82</v>
    <v>1.8169</v>
    <v>-11.27</v>
    <v>2.516E-3</v>
    <v>-2.9592E-2</v>
    <v>0.93</v>
    <v>USD</v>
    <v>Tesla, Inc. designs, develops, manufactures, sells and leases high-performance fully electric vehicles and energy generation and storage systems, and offers services related to its products. Its segments include automotive, and energy generation and storage. The automotive segment includes the design, development, manufacturing, sales and leasing of high-performance fully electric vehicles, and sales of automotive regulatory credits. It also includes sales of used vehicles, non-warranty maintenance services and collisions, part sales, paid supercharging, insurance services revenue and retail merchandise sales. The energy generation and storage segment include the design, manufacture, installation, sales and leasing of solar energy generation and energy storage products and related services and sales of solar energy systems incentives. Its consumer vehicles include the Model 3, Y, S, X and Cybertruck. Its lithium-ion battery energy storage products include Powerwall and Megapack.</v>
    <v>134785</v>
    <v>Nasdaq Stock Market</v>
    <v>XNAS</v>
    <v>XNAS</v>
    <v>1 Tesla Road, AUSTIN, TX, 78725 US</v>
    <v>386.61</v>
    <v>Automobiles &amp; Auto Parts</v>
    <v>Stock</v>
    <v>46223.99999767344</v>
    <v>245</v>
    <v>369.42500000000001</v>
    <v>1388002918680</v>
    <v>TESLA, INC.</v>
    <v>TESLA, INC.</v>
    <v>386.04500000000002</v>
    <v>348.09789999999998</v>
    <v>380.84</v>
    <v>369.57</v>
    <v>370.5</v>
    <v>3755724000</v>
    <v>TSLA</v>
    <v>TESLA, INC. (XNAS:TSLA)</v>
    <v>33901516</v>
    <v>43089491</v>
    <v>2024</v>
  </rv>
  <rv s="2">
    <v>246</v>
  </rv>
  <rv s="0">
    <v>https://www.bing.com/financeapi/forcetrigger?t=a1u3p2&amp;q=XNAS%3aGOOG&amp;form=skydnc</v>
    <v>Learn more on Bing</v>
  </rv>
  <rv s="7">
    <v>en-US</v>
    <v>a1u3p2</v>
    <v>268435456</v>
    <v>1</v>
    <v>Powered by Refinitiv</v>
    <v>14</v>
    <v>ALPHABET INC. (XNAS:GOOG)</v>
    <v>15</v>
    <v>16</v>
    <v>Finance</v>
    <v>17</v>
    <v>404.47</v>
    <v>187.05</v>
    <v>1.2439</v>
    <v>5.25</v>
    <v>3.7850000000000002E-3</v>
    <v>1.5167999999999999E-2</v>
    <v>1.33</v>
    <v>USD</v>
    <v>Alphabet Inc. is a holding company. The Company's segments include Google Services, Google Cloud, and Other Bets. The Google Services segment includes products and services such as ads, Android, Chrome, devices, Google Maps, Google Play, Search, and YouTube. The Google Cloud segment includes infrastructure and platform services, collaboration tools, and other services for enterprise customers. Its Other Bets segment is engaged in the sale of healthcare-related services and Internet services. Its Google Cloud provides enterprise-ready cloud services, including Google Cloud Platform and Google Workspace. Google Cloud Platform provides access to solutions such as artificial intelligence (AI) offerings, including its AI infrastructure, Vertex AI platform, and Gemini for Google Cloud; cybersecurity, and data and analytics. Google Workspace includes cloud-based communication and collaboration tools for enterprises, such as Calendar, Gmail, Docs, Drive, and Meet.</v>
    <v>194668</v>
    <v>Nasdaq Stock Market</v>
    <v>XNAS</v>
    <v>XNAS</v>
    <v>1600 Amphitheatre Parkway, MOUNTAIN VIEW, CA, 94043 US</v>
    <v>359.49</v>
    <v>Software &amp; IT Services</v>
    <v>Stock</v>
    <v>46223.999841469529</v>
    <v>248</v>
    <v>350.005</v>
    <v>4277775147200</v>
    <v>ALPHABET INC.</v>
    <v>ALPHABET INC.</v>
    <v>350.17</v>
    <v>26.433599999999998</v>
    <v>346.12</v>
    <v>351.37</v>
    <v>352.7</v>
    <v>12174560000</v>
    <v>GOOG</v>
    <v>ALPHABET INC. (XNAS:GOOG)</v>
    <v>13203263</v>
    <v>22637805</v>
    <v>2015</v>
  </rv>
  <rv s="2">
    <v>249</v>
  </rv>
  <rv s="0">
    <v>https://www.bing.com/financeapi/forcetrigger?t=a1nhlh&amp;q=XNAS%3aAMZN&amp;form=skydnc</v>
    <v>Learn more on Bing</v>
  </rv>
  <rv s="7">
    <v>en-US</v>
    <v>a1nhlh</v>
    <v>268435456</v>
    <v>1</v>
    <v>Powered by Refinitiv</v>
    <v>14</v>
    <v>AMAZON.COM, INC. (XNAS:AMZN)</v>
    <v>15</v>
    <v>16</v>
    <v>Finance</v>
    <v>17</v>
    <v>278.56</v>
    <v>196</v>
    <v>1.4613</v>
    <v>2.76</v>
    <v>-2.16E-3</v>
    <v>1.1164E-2</v>
    <v>-0.54</v>
    <v>USD</v>
    <v>Amazon.com, Inc. provides a range of products and services to customers. The products offered through its stores include merchandise and content it has purchased for resale and products offered by third-party sellers. The Company’s segments include North America, International and Amazon Web Services (AWS). It serves consumers through its online and physical stores and focuses on selection, price, and convenience. Customers access its offerings through its websites, mobile apps, Alexa, devices, streaming, and physically visiting its stores. It also manufactures and sells electronic devices, including Kindle, Fire tablet, Fire TV, Echo, Ring, Blink, and eero, and develops and produces media content. It serves developers and enterprises of all sizes, including start-ups, government agencies, and academic institutions, through AWS, which offers a set of on-demand technology services, including compute, storage, database, analytics, and machine learning, and other services.</v>
    <v>1575000</v>
    <v>Nasdaq Stock Market</v>
    <v>XNAS</v>
    <v>XNAS</v>
    <v>410 Terry Avenue North, SEATTLE, WA, 98109 US</v>
    <v>252.89</v>
    <v>Diversified Retail</v>
    <v>Stock</v>
    <v>46223.99999871484</v>
    <v>251</v>
    <v>248</v>
    <v>2689169928900</v>
    <v>AMAZON.COM, INC.</v>
    <v>AMAZON.COM, INC.</v>
    <v>248.76</v>
    <v>29.5458</v>
    <v>247.23</v>
    <v>249.99</v>
    <v>249.45</v>
    <v>10757110000</v>
    <v>AMZN</v>
    <v>AMAZON.COM, INC. (XNAS:AMZN)</v>
    <v>32406481</v>
    <v>57607345</v>
    <v>1996</v>
  </rv>
  <rv s="2">
    <v>252</v>
  </rv>
  <rv s="0">
    <v>https://www.bing.com/financeapi/forcetrigger?t=a1yv52&amp;q=XNAS%3aNVDA&amp;form=skydnc</v>
    <v>Learn more on Bing</v>
  </rv>
  <rv s="7">
    <v>en-US</v>
    <v>a1yv52</v>
    <v>268435456</v>
    <v>1</v>
    <v>Powered by Refinitiv</v>
    <v>14</v>
    <v>NVIDIA CORPORATION (XNAS:NVDA)</v>
    <v>15</v>
    <v>16</v>
    <v>Finance</v>
    <v>17</v>
    <v>236.54</v>
    <v>164.07</v>
    <v>2.2216</v>
    <v>0.47</v>
    <v>-9.3859999999999994E-4</v>
    <v>2.317E-3</v>
    <v>-0.1908</v>
    <v>USD</v>
    <v>NVIDIA Corporation is an artificial intelligence (AI) infrastructure company. The Company is engaged in accelerated computing to help solve the challenging computational problems. Its segments include Compute &amp; Networking and Graphics. The Compute &amp; Networking segment includes its Data Center accelerated computing and networking platforms and AI solutions and software, and automotive platforms and autonomous and electric vehicle solutions, including software. The Graphics segment includes GeForce GPUs for gaming and personal computers (PCs), and Quadro/NVIDIA RTX GPUs for enterprise workstation graphics. Its technology stack includes the foundational NVIDIA CUDA development platform that runs on all NVIDIA GPUs, as well as hundreds of domain-specific software libraries, frameworks, algorithms, software development kits (SDKs), and application programming interfaces (APIs). Its platforms address four markets, which include Data Center, Gaming, Professional Visualization, and Automotive.</v>
    <v>42000</v>
    <v>Nasdaq Stock Market</v>
    <v>XNAS</v>
    <v>XNAS</v>
    <v>2788 San Tomas Expressway, SANTA CLARA, CA, 95051 US</v>
    <v>207.74</v>
    <v>Semiconductors &amp; Semiconductor Equipment</v>
    <v>Stock</v>
    <v>46223.999996839841</v>
    <v>254</v>
    <v>202.28</v>
    <v>4919376000000</v>
    <v>NVIDIA CORPORATION</v>
    <v>NVIDIA CORPORATION</v>
    <v>205.87</v>
    <v>31.058299999999999</v>
    <v>202.81</v>
    <v>203.28</v>
    <v>203.08920000000001</v>
    <v>24200000000</v>
    <v>NVDA</v>
    <v>NVIDIA CORPORATION (XNAS:NVDA)</v>
    <v>88701540</v>
    <v>143033813</v>
    <v>1998</v>
  </rv>
  <rv s="2">
    <v>255</v>
  </rv>
  <rv s="0">
    <v>http://en.wikipedia.org/wiki/Public_domain</v>
    <v>Public domain</v>
  </rv>
  <rv s="0">
    <v>https://en.wikipedia.org/wiki/Microsoft</v>
    <v>Wikipedia</v>
  </rv>
  <rv s="8">
    <v>257</v>
    <v>258</v>
  </rv>
  <rv s="9">
    <v>22</v>
    <v>https://www.bing.com/th?id=AMMS_e6e837c7bf3a77408619758b7447855a&amp;qlt=95</v>
    <v>259</v>
    <v>0</v>
    <v>https://www.bing.com/images/search?form=xlimg&amp;q=microsoft</v>
    <v>Image of MICROSOFT CORPORATION</v>
  </rv>
  <rv s="0">
    <v>https://www.bing.com/financeapi/forcetrigger?t=a1xzim&amp;q=XNAS%3aMSFT&amp;form=skydnc</v>
    <v>Learn more on Bing</v>
  </rv>
  <rv s="10">
    <v>en-US</v>
    <v>a1xzim</v>
    <v>268435456</v>
    <v>1</v>
    <v>Powered by Refinitiv</v>
    <v>18</v>
    <v>MICROSOFT CORPORATION (XNAS:MSFT)</v>
    <v>20</v>
    <v>21</v>
    <v>Finance</v>
    <v>17</v>
    <v>555.45000000000005</v>
    <v>349.2</v>
    <v>1.1186</v>
    <v>8.4700000000000006</v>
    <v>-3.1490000000000003E-3</v>
    <v>2.1507000000000002E-2</v>
    <v>-1.2667999999999999</v>
    <v>USD</v>
    <v>Microsoft Corporation is a technology company. The Company develops and supports software, services, devices, and solutions. The Company’s segments include Productivity and Business Processes, Intelligent Cloud, and More Personal Computing. The Productivity and Business Processes segment consists of products and services in its portfolio of productivity, communication, and information services. This segment primarily comprises: Office Commercial, Office Consumer, LinkedIn, and Dynamics business solutions. The Intelligent Cloud segment consists of server products and cloud services, including Azure and other cloud services, SQL Server, Windows Server, Visual Studio, System Center, and related Client Access Licenses (CALs), and Nuance and GitHub; and Enterprise Services, including enterprise support services, industry solutions and Nuance professional services. The More Personal Computing segment primarily comprises Windows, Devices, Gaming, and search and news advertising.</v>
    <v>228000</v>
    <v>Nasdaq Stock Market</v>
    <v>XNAS</v>
    <v>XNAS</v>
    <v>One Microsoft Way, REDMOND, WA, 98052 US</v>
    <v>403.18</v>
    <v>260</v>
    <v>Software &amp; IT Services</v>
    <v>Stock</v>
    <v>46223.99995493047</v>
    <v>261</v>
    <v>389.65</v>
    <v>2988385116150</v>
    <v>MICROSOFT CORPORATION</v>
    <v>MICROSOFT CORPORATION</v>
    <v>391.41</v>
    <v>23.456199999999999</v>
    <v>393.82</v>
    <v>402.29</v>
    <v>401.02319999999997</v>
    <v>7428435000</v>
    <v>MSFT</v>
    <v>MICROSOFT CORPORATION (XNAS:MSFT)</v>
    <v>27915762</v>
    <v>45009434</v>
    <v>1993</v>
  </rv>
  <rv s="2">
    <v>262</v>
  </rv>
  <rv s="0">
    <v>https://www.bing.com/financeapi/forcetrigger?t=a1slm7&amp;q=XNAS%3aMETA&amp;form=skydnc</v>
    <v>Learn more on Bing</v>
  </rv>
  <rv s="7">
    <v>en-US</v>
    <v>a1slm7</v>
    <v>268435456</v>
    <v>1</v>
    <v>Powered by Refinitiv</v>
    <v>14</v>
    <v>META PLATFORMS, INC. (XNAS:META)</v>
    <v>15</v>
    <v>16</v>
    <v>Finance</v>
    <v>17</v>
    <v>796.25</v>
    <v>520.26</v>
    <v>1.2274</v>
    <v>-0.16</v>
    <v>-3.2360000000000002E-3</v>
    <v>-2.477E-4</v>
    <v>-2.09</v>
    <v>USD</v>
    <v>Meta Platforms, Inc. is building human connections, powered by artificial intelligence and immersive technologies. The Company's products enable people to connect and share with friends and family through mobile devices, personal computers, virtual reality (VR) and mixed reality (MR) headsets, augmented reality (AR), and wearables. It also helps people discover and learn about what is going on in the world around them, enabling people to share their experiences, ideas, photos, videos, and other content with audiences ranging from their closest family members and friends to the public at large. The Company's segments include Family of Apps (FoA) and Reality Labs (RL). FoA segment includes Facebook, Instagram, Messenger, WhatsApp and Threads. RL segment includes its virtual, augmented, and mixed reality related consumer hardware, software and content. Its product offerings in VR include its Meta Quest devices, as well as software and content available through the Meta Horizon Store.</v>
    <v>77986</v>
    <v>Nasdaq Stock Market</v>
    <v>XNAS</v>
    <v>XNAS</v>
    <v>1 Meta Way, MENLO PARK, CA, 94025 US</v>
    <v>653.29999999999995</v>
    <v>Software &amp; IT Services</v>
    <v>Stock</v>
    <v>46223.999951978905</v>
    <v>264</v>
    <v>636.01049999999998</v>
    <v>1639440494550</v>
    <v>META PLATFORMS, INC.</v>
    <v>META PLATFORMS, INC.</v>
    <v>646.70000000000005</v>
    <v>19.5945</v>
    <v>646.01</v>
    <v>645.85</v>
    <v>643.76</v>
    <v>2538423000</v>
    <v>META</v>
    <v>META PLATFORMS, INC. (XNAS:META)</v>
    <v>10225186</v>
    <v>19988021</v>
    <v>2004</v>
  </rv>
  <rv s="2">
    <v>265</v>
  </rv>
  <rv s="0">
    <v>https://www.bing.com/financeapi/forcetrigger?t=a1mou2&amp;q=XNAS%3aAAPL&amp;form=skydnc</v>
    <v>Learn more on Bing</v>
  </rv>
  <rv s="7">
    <v>en-US</v>
    <v>a1mou2</v>
    <v>268435456</v>
    <v>1</v>
    <v>Powered by Refinitiv</v>
    <v>14</v>
    <v>APPLE INC. (XNAS:AAPL)</v>
    <v>15</v>
    <v>16</v>
    <v>Finance</v>
    <v>17</v>
    <v>334.99</v>
    <v>201.5</v>
    <v>1.0737000000000001</v>
    <v>-7.15</v>
    <v>-1.83E-3</v>
    <v>-2.1423999999999999E-2</v>
    <v>-0.59750000000000003</v>
    <v>USD</v>
    <v>Apple Inc. designs, manufactures and markets smartphones, personal computers, tablets, wearables and accessories, and sells a variety of related services. Its product categories include iPhone, Mac, iPad, Wearables, Home and Accessories. Its services include advertising, AppleCare, cloud services, digital content, and payment services. The Company operates various platforms, including the App Store, that allow customers to discover and download applications and digital content, such as books, music, video, games and podcasts. It also offers digital content through subscription-based services, including Apple Arcade, Apple Fitness+, Apple Music, Apple News+, and Apple TV+. Its wearables include smartwatches, wireless headphones, and spatial computers. Its products include iPhone 16 Pro, iPhone 16, iPhone 15, iPhone 14, iPhone SE, MacBook Air, MacBook Pro, iMac, Mac mini, Mac Studio, Mac Pro, iPad Pro, iPad Air, AirPods, AirPods Pro, AirPods Max, Apple TV, Apple Vision Pro and others.</v>
    <v>166000</v>
    <v>Nasdaq Stock Market</v>
    <v>XNAS</v>
    <v>XNAS</v>
    <v>One Apple Park Way, CUPERTINO, CA, 95014 US</v>
    <v>333.71</v>
    <v>Computers, Phones &amp; Household Electronics</v>
    <v>Stock</v>
    <v>46223.999974003906</v>
    <v>267</v>
    <v>323.68</v>
    <v>4796744902400</v>
    <v>APPLE INC.</v>
    <v>APPLE INC.</v>
    <v>333.505</v>
    <v>40.532800000000002</v>
    <v>333.74</v>
    <v>326.58999999999997</v>
    <v>325.99250000000001</v>
    <v>14687360000</v>
    <v>AAPL</v>
    <v>APPLE INC. (XNAS:AAPL)</v>
    <v>53468008</v>
    <v>62334223</v>
    <v>1977</v>
  </rv>
  <rv s="2">
    <v>268</v>
  </rv>
  <rv s="0">
    <v>https://www.bing.com/financeapi/forcetrigger?t=a1vgp2&amp;q=ARCX%3aIJS&amp;form=skydnc</v>
    <v>Learn more on Bing</v>
  </rv>
  <rv s="1">
    <v>en-US</v>
    <v>a1vgp2</v>
    <v>268435456</v>
    <v>1</v>
    <v>Powered by Refinitiv</v>
    <v>0</v>
    <v>iShares:S&amp;P SC 600 Val (ARCX:IJS)</v>
    <v>2</v>
    <v>3</v>
    <v>Finance</v>
    <v>4</v>
    <v>138.6</v>
    <v>97.9011</v>
    <v>0.99919999999999998</v>
    <v>-0.97</v>
    <v>0</v>
    <v>-7.0830000000000008E-3</v>
    <v>0</v>
    <v>USD</v>
    <v>NYSE Arca</v>
    <v>ARCX</v>
    <v>1.8E-3</v>
    <v>137.2877</v>
    <v>ETF</v>
    <v>46223.982050751561</v>
    <v>270</v>
    <v>135.91999999999999</v>
    <v>8017806893.71</v>
    <v>iShares:S&amp;P SC 600 Val</v>
    <v>137.11000000000001</v>
    <v>136.94</v>
    <v>135.97</v>
    <v>135.97</v>
    <v>IJS</v>
    <v>iShares:S&amp;P SC 600 Val (ARCX:IJS)</v>
    <v>154832</v>
    <v>329015</v>
  </rv>
  <rv s="2">
    <v>271</v>
  </rv>
  <rv s="0">
    <v>https://www.bing.com/financeapi/forcetrigger?t=a1vgrw&amp;q=XNAS%3aIJT&amp;form=skydnc</v>
    <v>Learn more on Bing</v>
  </rv>
  <rv s="1">
    <v>en-US</v>
    <v>a1vgrw</v>
    <v>268435456</v>
    <v>1</v>
    <v>Powered by Refinitiv</v>
    <v>0</v>
    <v>iShares:S&amp;P SC 600 Gro (XNAS:IJT)</v>
    <v>2</v>
    <v>3</v>
    <v>Finance</v>
    <v>4</v>
    <v>179.64500000000001</v>
    <v>129.8768</v>
    <v>0.99990000000000001</v>
    <v>-1.1000000000000001</v>
    <v>0</v>
    <v>-6.3629999999999997E-3</v>
    <v>0</v>
    <v>USD</v>
    <v>Nasdaq Stock Market</v>
    <v>XNAS</v>
    <v>1.8E-3</v>
    <v>174.01</v>
    <v>ETF</v>
    <v>46223.982077777342</v>
    <v>273</v>
    <v>171.77500000000001</v>
    <v>8216008062.54</v>
    <v>iShares:S&amp;P SC 600 Gro</v>
    <v>173.35</v>
    <v>172.88</v>
    <v>171.78</v>
    <v>171.78</v>
    <v>IJT</v>
    <v>iShares:S&amp;P SC 600 Gro (XNAS:IJT)</v>
    <v>350819</v>
    <v>206176</v>
  </rv>
  <rv s="2">
    <v>274</v>
  </rv>
  <rv s="0">
    <v>https://www.bing.com/financeapi/forcetrigger?t=a1vggh&amp;q=ARCX%3aIJJ&amp;form=skydnc</v>
    <v>Learn more on Bing</v>
  </rv>
  <rv s="1">
    <v>en-US</v>
    <v>a1vggh</v>
    <v>268435456</v>
    <v>1</v>
    <v>Powered by Refinitiv</v>
    <v>0</v>
    <v>iShares:S&amp;P MC 400 Val (ARCX:IJJ)</v>
    <v>2</v>
    <v>3</v>
    <v>Finance</v>
    <v>4</v>
    <v>149.77000000000001</v>
    <v>121.37</v>
    <v>0.99960000000000004</v>
    <v>-1.58</v>
    <v>0</v>
    <v>-1.0663000000000001E-2</v>
    <v>0</v>
    <v>USD</v>
    <v>NYSE Arca</v>
    <v>ARCX</v>
    <v>1.8E-3</v>
    <v>148.58000000000001</v>
    <v>ETF</v>
    <v>46224.000000774999</v>
    <v>276</v>
    <v>146.59</v>
    <v>8733020141.1700001</v>
    <v>iShares:S&amp;P MC 400 Val</v>
    <v>148.58000000000001</v>
    <v>148.16999999999999</v>
    <v>146.59</v>
    <v>146.59</v>
    <v>IJJ</v>
    <v>iShares:S&amp;P MC 400 Val (ARCX:IJJ)</v>
    <v>192695</v>
    <v>209524</v>
  </rv>
  <rv s="2">
    <v>277</v>
  </rv>
  <rv s="0">
    <v>https://www.bing.com/financeapi/forcetrigger?t=a1vvsm&amp;q=ARCX%3aIVE&amp;form=skydnc</v>
    <v>Learn more on Bing</v>
  </rv>
  <rv s="1">
    <v>en-US</v>
    <v>a1vvsm</v>
    <v>268435456</v>
    <v>1</v>
    <v>Powered by Refinitiv</v>
    <v>0</v>
    <v>iShares:S&amp;P 500 Val (ARCX:IVE)</v>
    <v>2</v>
    <v>3</v>
    <v>Finance</v>
    <v>4</v>
    <v>233.57499999999999</v>
    <v>193.905</v>
    <v>1.0001</v>
    <v>-1.42</v>
    <v>0</v>
    <v>-6.1429999999999992E-3</v>
    <v>0</v>
    <v>USD</v>
    <v>NYSE Arca</v>
    <v>ARCX</v>
    <v>1.8E-3</v>
    <v>231.55500000000001</v>
    <v>ETF</v>
    <v>46224.000000821092</v>
    <v>279</v>
    <v>229.6</v>
    <v>47735063055.410004</v>
    <v>iShares:S&amp;P 500 Val</v>
    <v>231.43</v>
    <v>231.15</v>
    <v>229.73</v>
    <v>229.73</v>
    <v>IVE</v>
    <v>iShares:S&amp;P 500 Val (ARCX:IVE)</v>
    <v>765413</v>
    <v>896954</v>
  </rv>
  <rv s="2">
    <v>280</v>
  </rv>
  <rv s="0">
    <v>https://www.bing.com/financeapi/forcetrigger?t=a1vwur&amp;q=ARCX%3aIVW&amp;form=skydnc</v>
    <v>Learn more on Bing</v>
  </rv>
  <rv s="1">
    <v>en-US</v>
    <v>a1vwur</v>
    <v>268435456</v>
    <v>1</v>
    <v>Powered by Refinitiv</v>
    <v>0</v>
    <v>iShares:S&amp;P 500 Gro (ARCX:IVW)</v>
    <v>2</v>
    <v>3</v>
    <v>Finance</v>
    <v>4</v>
    <v>141.97999999999999</v>
    <v>108.13</v>
    <v>0.99980000000000002</v>
    <v>0.43</v>
    <v>2.3019999999999998E-3</v>
    <v>3.2029999999999997E-3</v>
    <v>0.31</v>
    <v>USD</v>
    <v>NYSE Arca</v>
    <v>ARCX</v>
    <v>1.8E-3</v>
    <v>136.15</v>
    <v>ETF</v>
    <v>46224.000000844528</v>
    <v>282</v>
    <v>134.56</v>
    <v>74972357023.070007</v>
    <v>iShares:S&amp;P 500 Gro</v>
    <v>135.34</v>
    <v>134.26</v>
    <v>134.69</v>
    <v>135</v>
    <v>IVW</v>
    <v>iShares:S&amp;P 500 Gro (ARCX:IVW)</v>
    <v>1572965</v>
    <v>2228207</v>
  </rv>
  <rv s="2">
    <v>283</v>
  </rv>
  <rv s="0">
    <v>https://www.bing.com/financeapi/forcetrigger?t=a1vgjc&amp;q=ARCX%3aIJK&amp;form=skydnc</v>
    <v>Learn more on Bing</v>
  </rv>
  <rv s="1">
    <v>en-US</v>
    <v>a1vgjc</v>
    <v>268435456</v>
    <v>1</v>
    <v>Powered by Refinitiv</v>
    <v>0</v>
    <v>iShares:S&amp;P MC 400 Gro (ARCX:IJK)</v>
    <v>2</v>
    <v>3</v>
    <v>Finance</v>
    <v>4</v>
    <v>117.6</v>
    <v>90.44</v>
    <v>0.99980000000000002</v>
    <v>-0.52</v>
    <v>0</v>
    <v>-4.6259999999999999E-3</v>
    <v>0</v>
    <v>USD</v>
    <v>NYSE Arca</v>
    <v>ARCX</v>
    <v>1.6000000000000001E-3</v>
    <v>113.30500000000001</v>
    <v>ETF</v>
    <v>46224.000001041408</v>
    <v>285</v>
    <v>111.81</v>
    <v>11298716418.889999</v>
    <v>iShares:S&amp;P MC 400 Gro</v>
    <v>113.11</v>
    <v>112.4</v>
    <v>111.88</v>
    <v>111.88</v>
    <v>IJK</v>
    <v>iShares:S&amp;P MC 400 Gro (ARCX:IJK)</v>
    <v>191522</v>
    <v>299460</v>
  </rv>
  <rv s="2">
    <v>286</v>
  </rv>
  <rv s="0">
    <v>https://www.bing.com/financeapi/forcetrigger?t=a1rmtc&amp;q=ARCX%3aEDC&amp;form=skydnc</v>
    <v>Learn more on Bing</v>
  </rv>
  <rv s="1">
    <v>en-US</v>
    <v>a1rmtc</v>
    <v>268435456</v>
    <v>1</v>
    <v>Powered by Refinitiv</v>
    <v>0</v>
    <v>Direxion:MSCI EM Bull 3X (ARCX:EDC)</v>
    <v>2</v>
    <v>3</v>
    <v>Finance</v>
    <v>4</v>
    <v>103.88</v>
    <v>38.08</v>
    <v>2.4958999999999998</v>
    <v>0.87</v>
    <v>0</v>
    <v>1.2608999999999999E-2</v>
    <v>0</v>
    <v>USD</v>
    <v>NYSE Arca</v>
    <v>ARCX</v>
    <v>1.09E-2</v>
    <v>71.790000000000006</v>
    <v>ETF</v>
    <v>46224.000001411718</v>
    <v>288</v>
    <v>69.599999999999994</v>
    <v>185124492.80000001</v>
    <v>Direxion:MSCI EM Bull 3X</v>
    <v>71.180000000000007</v>
    <v>69</v>
    <v>69.87</v>
    <v>69.87</v>
    <v>EDC</v>
    <v>Direxion:MSCI EM Bull 3X (ARCX:EDC)</v>
    <v>153674</v>
    <v>106246</v>
  </rv>
  <rv s="2">
    <v>289</v>
  </rv>
  <rv s="0">
    <v>https://www.bing.com/financeapi/forcetrigger?t=a24cdm&amp;q=ARCX%3aTNA&amp;form=skydnc</v>
    <v>Learn more on Bing</v>
  </rv>
  <rv s="1">
    <v>en-US</v>
    <v>a24cdm</v>
    <v>268435456</v>
    <v>1</v>
    <v>Powered by Refinitiv</v>
    <v>0</v>
    <v>Direxion:Sm Cap Bull 3X (ARCX:TNA)</v>
    <v>2</v>
    <v>3</v>
    <v>Finance</v>
    <v>4</v>
    <v>76.838999999999999</v>
    <v>31.335000000000001</v>
    <v>3.0101</v>
    <v>-1.26</v>
    <v>1.3089999999999998E-3</v>
    <v>-1.7995000000000001E-2</v>
    <v>0.09</v>
    <v>USD</v>
    <v>NYSE Arca</v>
    <v>ARCX</v>
    <v>1.0500000000000001E-2</v>
    <v>71.37</v>
    <v>ETF</v>
    <v>46224.000001596876</v>
    <v>291</v>
    <v>68.650000000000006</v>
    <v>1441935467.9400001</v>
    <v>Direxion:Sm Cap Bull 3X</v>
    <v>70.650000000000006</v>
    <v>70.02</v>
    <v>68.760000000000005</v>
    <v>68.849999999999994</v>
    <v>TNA</v>
    <v>Direxion:Sm Cap Bull 3X (ARCX:TNA)</v>
    <v>3948430</v>
    <v>5613386</v>
  </rv>
  <rv s="2">
    <v>292</v>
  </rv>
  <rv s="3">
    <v>en-US</v>
    <v>ccizzr</v>
    <v>268435456</v>
    <v>1</v>
    <v>Powered by Refinitiv</v>
    <v>5</v>
    <v>Roundhill Dly 2XLg Mag 7 (BATS:MAGX)</v>
    <v>6</v>
    <v>7</v>
    <v>Finance</v>
    <v>11</v>
    <v>63.469900000000003</v>
    <v>38.72</v>
    <v>0.11</v>
    <v>-6.0179999999999999E-3</v>
    <v>2.0080000000000002E-3</v>
    <v>-0.33</v>
    <v>USD</v>
    <v>CBOE BZX Exchange</v>
    <v>BATS</v>
    <v>9.3999999999999986E-3</v>
    <v>55.43</v>
    <v>ETF</v>
    <v>46223.981997256247</v>
    <v>54.46</v>
    <v>47867627.18</v>
    <v>Roundhill Dly 2XLg Mag 7</v>
    <v>55.43</v>
    <v>54.78</v>
    <v>54.89</v>
    <v>54.51</v>
    <v>MAGX</v>
    <v>Roundhill Dly 2XLg Mag 7 (BATS:MAGX)</v>
    <v>32876</v>
    <v>84454</v>
  </rv>
  <rv s="2">
    <v>294</v>
  </rv>
  <rv s="0">
    <v>https://www.bing.com/financeapi/forcetrigger?t=a1xmgh&amp;q=ARCX%3aMIDU&amp;form=skydnc</v>
    <v>Learn more on Bing</v>
  </rv>
  <rv s="1">
    <v>en-US</v>
    <v>a1xmgh</v>
    <v>268435456</v>
    <v>1</v>
    <v>Powered by Refinitiv</v>
    <v>0</v>
    <v>Direxion:MidCapBull 3X (ARCX:MIDU)</v>
    <v>2</v>
    <v>3</v>
    <v>Finance</v>
    <v>4</v>
    <v>75.06</v>
    <v>42.691899999999997</v>
    <v>3.0335000000000001</v>
    <v>-1.76</v>
    <v>-1.6539999999999999E-3</v>
    <v>-2.5219000000000002E-2</v>
    <v>-0.1125</v>
    <v>USD</v>
    <v>NYSE Arca</v>
    <v>ARCX</v>
    <v>9.7999999999999997E-3</v>
    <v>69.849999999999994</v>
    <v>ETF</v>
    <v>46223.982067430472</v>
    <v>296</v>
    <v>68.02</v>
    <v>82139864.969999999</v>
    <v>Direxion:MidCapBull 3X</v>
    <v>69.849999999999994</v>
    <v>69.790000000000006</v>
    <v>68.03</v>
    <v>67.917500000000004</v>
    <v>MIDU</v>
    <v>Direxion:MidCapBull 3X (ARCX:MIDU)</v>
    <v>6489</v>
    <v>19913</v>
  </rv>
  <rv s="2">
    <v>297</v>
  </rv>
  <rv s="0">
    <v>https://www.bing.com/financeapi/forcetrigger?t=a24g52&amp;q=XNAS%3aTQQQ&amp;form=skydnc</v>
    <v>Learn more on Bing</v>
  </rv>
  <rv s="1">
    <v>en-US</v>
    <v>a24g52</v>
    <v>268435456</v>
    <v>1</v>
    <v>Powered by Refinitiv</v>
    <v>0</v>
    <v>ProShares:UltP QQQ (XNAS:TQQQ)</v>
    <v>2</v>
    <v>3</v>
    <v>Finance</v>
    <v>4</v>
    <v>88.09</v>
    <v>37.32</v>
    <v>3.0577000000000001</v>
    <v>0.12</v>
    <v>-2.9559999999999998E-4</v>
    <v>1.7769999999999999E-3</v>
    <v>-0.02</v>
    <v>USD</v>
    <v>Nasdaq Stock Market</v>
    <v>XNAS</v>
    <v>8.199999999999999E-3</v>
    <v>70.504999999999995</v>
    <v>ETF</v>
    <v>46223.999973171092</v>
    <v>299</v>
    <v>67.5</v>
    <v>38968848442.349998</v>
    <v>ProShares:UltP QQQ</v>
    <v>69.47</v>
    <v>67.53</v>
    <v>67.650000000000006</v>
    <v>67.63</v>
    <v>TQQQ</v>
    <v>ProShares:UltP QQQ (XNAS:TQQQ)</v>
    <v>50076669</v>
    <v>71428581</v>
  </rv>
  <rv s="2">
    <v>300</v>
  </rv>
  <rv s="0">
    <v>https://www.bing.com/financeapi/forcetrigger?t=a23h6h&amp;q=ARCX%3aSPXL&amp;form=skydnc</v>
    <v>Learn more on Bing</v>
  </rv>
  <rv s="1">
    <v>en-US</v>
    <v>a23h6h</v>
    <v>268435456</v>
    <v>1</v>
    <v>Powered by Refinitiv</v>
    <v>0</v>
    <v>Direxion:S&amp;P 500 Bull 3X (ARCX:SPXL)</v>
    <v>2</v>
    <v>3</v>
    <v>Finance</v>
    <v>4</v>
    <v>289</v>
    <v>168.04</v>
    <v>3.0491000000000001</v>
    <v>-1.19</v>
    <v>-3.7799999999999997E-5</v>
    <v>-4.4779999999999993E-3</v>
    <v>-0.01</v>
    <v>USD</v>
    <v>NYSE Arca</v>
    <v>ARCX</v>
    <v>8.3999999999999995E-3</v>
    <v>271.51</v>
    <v>ETF</v>
    <v>46224.000001654691</v>
    <v>302</v>
    <v>263.86</v>
    <v>6901188423.8900003</v>
    <v>Direxion:S&amp;P 500 Bull 3X</v>
    <v>269.77</v>
    <v>265.73</v>
    <v>264.54000000000002</v>
    <v>264.52999999999997</v>
    <v>SPXL</v>
    <v>Direxion:S&amp;P 500 Bull 3X (ARCX:SPXL)</v>
    <v>1592832</v>
    <v>1850252</v>
  </rv>
  <rv s="2">
    <v>303</v>
  </rv>
  <rv s="0">
    <v>https://www.bing.com/financeapi/forcetrigger?t=a24tcw&amp;q=ARCX%3aUDOW&amp;form=skydnc</v>
    <v>Learn more on Bing</v>
  </rv>
  <rv s="1">
    <v>en-US</v>
    <v>a24tcw</v>
    <v>268435456</v>
    <v>1</v>
    <v>Powered by Refinitiv</v>
    <v>0</v>
    <v>ProShares:UltP Dow30 (ARCX:UDOW)</v>
    <v>2</v>
    <v>3</v>
    <v>Finance</v>
    <v>4</v>
    <v>74.209999999999994</v>
    <v>44.37</v>
    <v>2.8942000000000001</v>
    <v>-1.2</v>
    <v>1.0299999999999999E-3</v>
    <v>-1.7346E-2</v>
    <v>7.0000000000000007E-2</v>
    <v>USD</v>
    <v>NYSE Arca</v>
    <v>ARCX</v>
    <v>9.4999999999999998E-3</v>
    <v>70.177099999999996</v>
    <v>ETF</v>
    <v>46223.995680265623</v>
    <v>305</v>
    <v>67.709999999999994</v>
    <v>874050037.38999999</v>
    <v>ProShares:UltP Dow30</v>
    <v>69.63</v>
    <v>69.180000000000007</v>
    <v>67.98</v>
    <v>68.05</v>
    <v>UDOW</v>
    <v>ProShares:UltP Dow30 (ARCX:UDOW)</v>
    <v>1091613</v>
    <v>1573630</v>
  </rv>
  <rv s="2">
    <v>306</v>
  </rv>
  <rv s="0">
    <v>https://www.bing.com/financeapi/forcetrigger?t=a1qe8m&amp;q=ARCX%3aCSD&amp;form=skydnc</v>
    <v>Learn more on Bing</v>
  </rv>
  <rv s="1">
    <v>en-US</v>
    <v>a1qe8m</v>
    <v>268435456</v>
    <v>1</v>
    <v>Powered by Refinitiv</v>
    <v>0</v>
    <v>Invesco S&amp;P Spin-Off (ARCX:CSD)</v>
    <v>2</v>
    <v>3</v>
    <v>Finance</v>
    <v>4</v>
    <v>150.42500000000001</v>
    <v>84.12</v>
    <v>1.1712</v>
    <v>-1.0448</v>
    <v>0</v>
    <v>-7.6619999999999995E-3</v>
    <v>0</v>
    <v>USD</v>
    <v>NYSE Arca</v>
    <v>ARCX</v>
    <v>6.5000000000000006E-3</v>
    <v>137.78</v>
    <v>ETF</v>
    <v>46224.000001666405</v>
    <v>308</v>
    <v>135.11000000000001</v>
    <v>228913585.08000001</v>
    <v>Invesco S&amp;P Spin-Off</v>
    <v>137.5</v>
    <v>136.35480000000001</v>
    <v>135.31</v>
    <v>135.31</v>
    <v>CSD</v>
    <v>Invesco S&amp;P Spin-Off (ARCX:CSD)</v>
    <v>10652</v>
    <v>17373</v>
  </rv>
  <rv s="2">
    <v>309</v>
  </rv>
  <rv s="0">
    <v>https://www.bing.com/financeapi/forcetrigger?t=a1vpoc&amp;q=ARCX%3aIPO&amp;form=skydnc</v>
    <v>Learn more on Bing</v>
  </rv>
  <rv s="1">
    <v>en-US</v>
    <v>a1vpoc</v>
    <v>268435456</v>
    <v>1</v>
    <v>Powered by Refinitiv</v>
    <v>0</v>
    <v>Renaissance IPO (ARCX:IPO)</v>
    <v>2</v>
    <v>3</v>
    <v>Finance</v>
    <v>4</v>
    <v>60.33</v>
    <v>39.305</v>
    <v>1.2582</v>
    <v>0.1166</v>
    <v>4.9800000000000001E-3</v>
    <v>2.209E-3</v>
    <v>0.26340000000000002</v>
    <v>USD</v>
    <v>NYSE Arca</v>
    <v>ARCX</v>
    <v>6.0000000000000001E-3</v>
    <v>53.59</v>
    <v>ETF</v>
    <v>46224.000001250002</v>
    <v>311</v>
    <v>52.896599999999999</v>
    <v>181585277.81</v>
    <v>Renaissance IPO</v>
    <v>53.04</v>
    <v>52.78</v>
    <v>52.896599999999999</v>
    <v>53.16</v>
    <v>IPO</v>
    <v>Renaissance IPO (ARCX:IPO)</v>
    <v>14064</v>
    <v>53737</v>
  </rv>
  <rv s="2">
    <v>312</v>
  </rv>
  <rv s="0">
    <v>https://www.bing.com/financeapi/forcetrigger?t=a21ch7&amp;q=ARCX%3aPSP&amp;form=skydnc</v>
    <v>Learn more on Bing</v>
  </rv>
  <rv s="1">
    <v>en-US</v>
    <v>a21ch7</v>
    <v>268435456</v>
    <v>1</v>
    <v>Powered by Refinitiv</v>
    <v>0</v>
    <v>Invesco Gl Lst Pr Eq (ARCX:PSP)</v>
    <v>2</v>
    <v>3</v>
    <v>Finance</v>
    <v>4</v>
    <v>72.97</v>
    <v>54.12</v>
    <v>1.2365999999999999</v>
    <v>-0.98599999999999999</v>
    <v>0</v>
    <v>-1.6851999999999999E-2</v>
    <v>0</v>
    <v>USD</v>
    <v>NYSE Arca</v>
    <v>ARCX</v>
    <v>1.8000000000000002E-2</v>
    <v>58.21</v>
    <v>ETF</v>
    <v>46223.982067210156</v>
    <v>314</v>
    <v>57.43</v>
    <v>217207060.31999999</v>
    <v>Invesco Gl Lst Pr Eq</v>
    <v>58.21</v>
    <v>58.51</v>
    <v>57.524000000000001</v>
    <v>57.524000000000001</v>
    <v>PSP</v>
    <v>Invesco Gl Lst Pr Eq (ARCX:PSP)</v>
    <v>23032</v>
    <v>47949</v>
  </rv>
  <rv s="2">
    <v>315</v>
  </rv>
  <rv s="0">
    <v>https://www.bing.com/financeapi/forcetrigger?t=a1uclh&amp;q=ARCX%3aGURU&amp;form=skydnc</v>
    <v>Learn more on Bing</v>
  </rv>
  <rv s="1">
    <v>en-US</v>
    <v>a1uclh</v>
    <v>268435456</v>
    <v>1</v>
    <v>Powered by Refinitiv</v>
    <v>0</v>
    <v>Glbl X Guru Index ETF (ARCX:GURU)</v>
    <v>2</v>
    <v>3</v>
    <v>Finance</v>
    <v>4</v>
    <v>70.14</v>
    <v>53.8</v>
    <v>0.9405</v>
    <v>-0.50719999999999998</v>
    <v>6.4329999999999995E-3</v>
    <v>-7.4980000000000003E-3</v>
    <v>0.43190000000000001</v>
    <v>USD</v>
    <v>NYSE Arca</v>
    <v>ARCX</v>
    <v>7.4999999999999997E-3</v>
    <v>67.569999999999993</v>
    <v>ETF</v>
    <v>46224.000001631248</v>
    <v>317</v>
    <v>67.138099999999994</v>
    <v>63742273.479999997</v>
    <v>Glbl X Guru Index ETF</v>
    <v>67.569999999999993</v>
    <v>67.645300000000006</v>
    <v>67.138099999999994</v>
    <v>67.569999999999993</v>
    <v>GURU</v>
    <v>Glbl X Guru Index ETF (ARCX:GURU)</v>
    <v>413</v>
    <v>945</v>
  </rv>
  <rv s="2">
    <v>318</v>
  </rv>
  <rv s="0">
    <v>https://www.bing.com/financeapi/forcetrigger?t=a1x43m&amp;q=ARCX%3aLQD&amp;form=skydnc</v>
    <v>Learn more on Bing</v>
  </rv>
  <rv s="1">
    <v>en-US</v>
    <v>a1x43m</v>
    <v>268435456</v>
    <v>1</v>
    <v>Powered by Refinitiv</v>
    <v>0</v>
    <v>iShares:iBoxx $IG Corp (ARCX:LQD)</v>
    <v>2</v>
    <v>3</v>
    <v>Finance</v>
    <v>4</v>
    <v>112.93</v>
    <v>106.93</v>
    <v>1.2567999999999999</v>
    <v>-0.41</v>
    <v>0</v>
    <v>-3.8119999999999999E-3</v>
    <v>0</v>
    <v>USD</v>
    <v>NYSE Arca</v>
    <v>ARCX</v>
    <v>1.4000000000000002E-3</v>
    <v>107.5575</v>
    <v>ETF</v>
    <v>46224.000001654691</v>
    <v>320</v>
    <v>107.105</v>
    <v>33113136850.110001</v>
    <v>iShares:iBoxx $IG Corp</v>
    <v>107.53</v>
    <v>107.56</v>
    <v>107.15</v>
    <v>107.15</v>
    <v>LQD</v>
    <v>iShares:iBoxx $IG Corp (ARCX:LQD)</v>
    <v>29445753</v>
    <v>29342062</v>
  </rv>
  <rv s="2">
    <v>321</v>
  </rv>
  <rv s="0">
    <v>https://www.bing.com/financeapi/forcetrigger?t=a1zqqh&amp;q=XNAS%3aPFF&amp;form=skydnc</v>
    <v>Learn more on Bing</v>
  </rv>
  <rv s="1">
    <v>en-US</v>
    <v>a1zqqh</v>
    <v>268435456</v>
    <v>1</v>
    <v>Powered by Refinitiv</v>
    <v>0</v>
    <v>iShares:Pref and Inc Sec (XNAS:PFF)</v>
    <v>2</v>
    <v>3</v>
    <v>Finance</v>
    <v>4</v>
    <v>32.264499999999998</v>
    <v>30.1</v>
    <v>1.3615999999999999</v>
    <v>-0.03</v>
    <v>6.596E-6</v>
    <v>-9.8850000000000001E-4</v>
    <v>2.0000000000000001E-4</v>
    <v>USD</v>
    <v>Nasdaq Stock Market</v>
    <v>XNAS</v>
    <v>4.5000000000000005E-3</v>
    <v>30.4222</v>
    <v>ETF</v>
    <v>46223.982042846874</v>
    <v>323</v>
    <v>30.29</v>
    <v>13096668875.58</v>
    <v>iShares:Pref and Inc Sec</v>
    <v>30.4</v>
    <v>30.35</v>
    <v>30.32</v>
    <v>30.3202</v>
    <v>PFF</v>
    <v>iShares:Pref and Inc Sec (XNAS:PFF)</v>
    <v>2847550</v>
    <v>3214309</v>
  </rv>
  <rv s="2">
    <v>324</v>
  </rv>
  <rv s="0">
    <v>https://www.bing.com/financeapi/forcetrigger?t=a1y4u2&amp;q=ARCX%3aMUB&amp;form=skydnc</v>
    <v>Learn more on Bing</v>
  </rv>
  <rv s="1">
    <v>en-US</v>
    <v>a1y4u2</v>
    <v>268435456</v>
    <v>1</v>
    <v>Powered by Refinitiv</v>
    <v>0</v>
    <v>iShares:Natl Muni Bond (ARCX:MUB)</v>
    <v>2</v>
    <v>3</v>
    <v>Finance</v>
    <v>4</v>
    <v>109</v>
    <v>103.34</v>
    <v>0.90549999999999997</v>
    <v>-0.18</v>
    <v>-1.459E-3</v>
    <v>-1.689E-3</v>
    <v>-0.1552</v>
    <v>USD</v>
    <v>NYSE Arca</v>
    <v>ARCX</v>
    <v>5.0000000000000001E-4</v>
    <v>106.6974</v>
    <v>ETF</v>
    <v>46223.982047024998</v>
    <v>326</v>
    <v>106.38</v>
    <v>45820871520.019997</v>
    <v>iShares:Natl Muni Bond</v>
    <v>106.64</v>
    <v>106.58</v>
    <v>106.4</v>
    <v>106.2448</v>
    <v>MUB</v>
    <v>iShares:Natl Muni Bond (ARCX:MUB)</v>
    <v>2284488</v>
    <v>3300988</v>
  </rv>
  <rv s="2">
    <v>327</v>
  </rv>
  <rv s="0">
    <v>https://www.bing.com/financeapi/forcetrigger?t=a1rvsm&amp;q=XNAS%3aEMB&amp;form=skydnc</v>
    <v>Learn more on Bing</v>
  </rv>
  <rv s="1">
    <v>en-US</v>
    <v>a1rvsm</v>
    <v>268435456</v>
    <v>1</v>
    <v>Powered by Refinitiv</v>
    <v>0</v>
    <v>iShares:JPM USD EM Bd (XNAS:EMB)</v>
    <v>2</v>
    <v>3</v>
    <v>Finance</v>
    <v>4</v>
    <v>97.8</v>
    <v>92.18</v>
    <v>0.90649999999999997</v>
    <v>-0.16</v>
    <v>8.3880000000000001E-4</v>
    <v>-1.6750000000000001E-3</v>
    <v>0.08</v>
    <v>USD</v>
    <v>Nasdaq Stock Market</v>
    <v>XNAS</v>
    <v>3.9000000000000003E-3</v>
    <v>95.65</v>
    <v>ETF</v>
    <v>46223.995076585154</v>
    <v>329</v>
    <v>95.325000000000003</v>
    <v>14615079474.459999</v>
    <v>iShares:JPM USD EM Bd</v>
    <v>95.6</v>
    <v>95.53</v>
    <v>95.37</v>
    <v>95.45</v>
    <v>EMB</v>
    <v>iShares:JPM USD EM Bd (XNAS:EMB)</v>
    <v>2928483</v>
    <v>6010169</v>
  </rv>
  <rv s="2">
    <v>330</v>
  </rv>
  <rv s="0">
    <v>https://www.bing.com/financeapi/forcetrigger?t=a1oovh&amp;q=XNAS%3aBNDX&amp;form=skydnc</v>
    <v>Learn more on Bing</v>
  </rv>
  <rv s="1">
    <v>en-US</v>
    <v>a1oovh</v>
    <v>268435456</v>
    <v>1</v>
    <v>Powered by Refinitiv</v>
    <v>0</v>
    <v>Vanguard Tot Itl BI;ETF (XNAS:BNDX)</v>
    <v>2</v>
    <v>3</v>
    <v>Finance</v>
    <v>4</v>
    <v>49.93</v>
    <v>47.530999999999999</v>
    <v>0.64929999999999999</v>
    <v>-0.11</v>
    <v>6.1899999999999998E-4</v>
    <v>-2.2950000000000002E-3</v>
    <v>2.9600000000000001E-2</v>
    <v>USD</v>
    <v>Nasdaq Stock Market</v>
    <v>XNAS</v>
    <v>7.000000000000001E-4</v>
    <v>47.929900000000004</v>
    <v>ETF</v>
    <v>46223.982028356251</v>
    <v>332</v>
    <v>47.81</v>
    <v>82964547020</v>
    <v>Vanguard Tot Itl BI;ETF</v>
    <v>47.89</v>
    <v>47.93</v>
    <v>47.82</v>
    <v>47.849600000000002</v>
    <v>BNDX</v>
    <v>Vanguard Tot Itl BI;ETF (XNAS:BNDX)</v>
    <v>3502865</v>
    <v>4705093</v>
  </rv>
  <rv s="2">
    <v>333</v>
  </rv>
  <rv s="0">
    <v>https://www.bing.com/financeapi/forcetrigger?t=a24akr&amp;q=ARCX%3aTLH&amp;form=skydnc</v>
    <v>Learn more on Bing</v>
  </rv>
  <rv s="1">
    <v>en-US</v>
    <v>a24akr</v>
    <v>268435456</v>
    <v>1</v>
    <v>Powered by Refinitiv</v>
    <v>0</v>
    <v>iShares:10-20 Trs Bd ETF (ARCX:TLH)</v>
    <v>2</v>
    <v>3</v>
    <v>Finance</v>
    <v>4</v>
    <v>105.465</v>
    <v>96.890100000000004</v>
    <v>0.90769999999999995</v>
    <v>-0.55000000000000004</v>
    <v>-1.019E-4</v>
    <v>-5.574E-3</v>
    <v>-0.01</v>
    <v>USD</v>
    <v>NYSE Arca</v>
    <v>ARCX</v>
    <v>1.5E-3</v>
    <v>98.52</v>
    <v>ETF</v>
    <v>46224.000001666405</v>
    <v>335</v>
    <v>97.99</v>
    <v>11252374706.07</v>
    <v>iShares:10-20 Trs Bd ETF</v>
    <v>98.49</v>
    <v>98.68</v>
    <v>98.13</v>
    <v>98.12</v>
    <v>TLH</v>
    <v>iShares:10-20 Trs Bd ETF (ARCX:TLH)</v>
    <v>640253</v>
    <v>808376</v>
  </rv>
  <rv s="2">
    <v>336</v>
  </rv>
  <rv s="0">
    <v>https://www.bing.com/financeapi/forcetrigger?t=a2491h&amp;q=ARCX%3aTIP&amp;form=skydnc</v>
    <v>Learn more on Bing</v>
  </rv>
  <rv s="1">
    <v>en-US</v>
    <v>a2491h</v>
    <v>268435456</v>
    <v>1</v>
    <v>Powered by Refinitiv</v>
    <v>0</v>
    <v>iShares:TIPS Bd ETF (ARCX:TIP)</v>
    <v>2</v>
    <v>3</v>
    <v>Finance</v>
    <v>4</v>
    <v>112.26</v>
    <v>107.82</v>
    <v>0.97529999999999994</v>
    <v>-0.22</v>
    <v>0</v>
    <v>-2.032E-3</v>
    <v>0</v>
    <v>USD</v>
    <v>NYSE Arca</v>
    <v>ARCX</v>
    <v>1.8E-3</v>
    <v>108.215</v>
    <v>ETF</v>
    <v>46224.00000070547</v>
    <v>338</v>
    <v>108.005</v>
    <v>14696782645.540001</v>
    <v>iShares:TIPS Bd ETF</v>
    <v>108.19</v>
    <v>108.27</v>
    <v>108.05</v>
    <v>108.05</v>
    <v>TIP</v>
    <v>iShares:TIPS Bd ETF (ARCX:TIP)</v>
    <v>1010495</v>
    <v>1844457</v>
  </rv>
  <rv s="2">
    <v>339</v>
  </rv>
  <rv s="0">
    <v>https://www.bing.com/financeapi/forcetrigger?t=a1n26h&amp;q=ARCX%3aAGG&amp;form=skydnc</v>
    <v>Learn more on Bing</v>
  </rv>
  <rv s="1">
    <v>en-US</v>
    <v>a1n26h</v>
    <v>268435456</v>
    <v>1</v>
    <v>Powered by Refinitiv</v>
    <v>0</v>
    <v>iShares:Core US Agg Bd (ARCX:AGG)</v>
    <v>2</v>
    <v>3</v>
    <v>Finance</v>
    <v>4</v>
    <v>101.45569999999999</v>
    <v>97.515000000000001</v>
    <v>0.99119999999999997</v>
    <v>-0.25</v>
    <v>1.5310000000000002E-3</v>
    <v>-2.5460000000000001E-3</v>
    <v>0.15</v>
    <v>USD</v>
    <v>NYSE Arca</v>
    <v>ARCX</v>
    <v>2.9999999999999997E-4</v>
    <v>98.184200000000004</v>
    <v>ETF</v>
    <v>46224.000001642969</v>
    <v>341</v>
    <v>97.894999999999996</v>
    <v>138847464699.84</v>
    <v>iShares:Core US Agg Bd</v>
    <v>98.17</v>
    <v>98.2</v>
    <v>97.95</v>
    <v>98.1</v>
    <v>AGG</v>
    <v>iShares:Core US Agg Bd (ARCX:AGG)</v>
    <v>4949442</v>
    <v>8431738</v>
  </rv>
  <rv s="2">
    <v>342</v>
  </rv>
  <rv s="0">
    <v>https://www.bing.com/financeapi/forcetrigger?t=a1vbh7&amp;q=XNAS%3aIEI&amp;form=skydnc</v>
    <v>Learn more on Bing</v>
  </rv>
  <rv s="1">
    <v>en-US</v>
    <v>a1vbh7</v>
    <v>268435456</v>
    <v>1</v>
    <v>Powered by Refinitiv</v>
    <v>0</v>
    <v>iShares:3-7 Trs Bd (XNAS:IEI)</v>
    <v>2</v>
    <v>3</v>
    <v>Finance</v>
    <v>4</v>
    <v>120.7799</v>
    <v>116.43</v>
    <v>1.2312000000000001</v>
    <v>-0.22</v>
    <v>1.7129999999999999E-4</v>
    <v>-1.8809999999999999E-3</v>
    <v>0.02</v>
    <v>USD</v>
    <v>Nasdaq Stock Market</v>
    <v>XNAS</v>
    <v>1.5E-3</v>
    <v>116.91</v>
    <v>ETF</v>
    <v>46223.982066735938</v>
    <v>344</v>
    <v>116.67</v>
    <v>18260960978.290001</v>
    <v>iShares:3-7 Trs Bd</v>
    <v>116.89</v>
    <v>116.98</v>
    <v>116.76</v>
    <v>116.78</v>
    <v>IEI</v>
    <v>iShares:3-7 Trs Bd (XNAS:IEI)</v>
    <v>1202728</v>
    <v>1204562</v>
  </rv>
  <rv s="2">
    <v>345</v>
  </rv>
  <rv s="0">
    <v>https://www.bing.com/financeapi/forcetrigger?t=a24b5r&amp;q=XNAS%3aTLT&amp;form=skydnc</v>
    <v>Learn more on Bing</v>
  </rv>
  <rv s="1">
    <v>en-US</v>
    <v>a24b5r</v>
    <v>268435456</v>
    <v>1</v>
    <v>Powered by Refinitiv</v>
    <v>0</v>
    <v>iShares:20+ Trs Bd ETF (XNAS:TLT)</v>
    <v>2</v>
    <v>3</v>
    <v>Finance</v>
    <v>4</v>
    <v>92.185000000000002</v>
    <v>82.77</v>
    <v>1.1068</v>
    <v>-0.63</v>
    <v>3.5760000000000002E-4</v>
    <v>-7.4539999999999997E-3</v>
    <v>0.03</v>
    <v>USD</v>
    <v>Nasdaq Stock Market</v>
    <v>XNAS</v>
    <v>1.5E-3</v>
    <v>84.34</v>
    <v>ETF</v>
    <v>46223.999841503908</v>
    <v>347</v>
    <v>83.814999999999998</v>
    <v>41099933744.779999</v>
    <v>iShares:20+ Trs Bd ETF</v>
    <v>84.31</v>
    <v>84.52</v>
    <v>83.89</v>
    <v>83.92</v>
    <v>TLT</v>
    <v>iShares:20+ Trs Bd ETF (XNAS:TLT)</v>
    <v>24289038</v>
    <v>24535201</v>
  </rv>
  <rv s="2">
    <v>348</v>
  </rv>
  <rv s="0">
    <v>https://www.bing.com/financeapi/forcetrigger?t=a1u477&amp;q=BATS%3aGOVT&amp;form=skydnc</v>
    <v>Learn more on Bing</v>
  </rv>
  <rv s="1">
    <v>en-US</v>
    <v>a1u477</v>
    <v>268435456</v>
    <v>1</v>
    <v>Powered by Refinitiv</v>
    <v>0</v>
    <v>iShares:US Treasury Bond (BATS:GOVT)</v>
    <v>2</v>
    <v>3</v>
    <v>Finance</v>
    <v>11</v>
    <v>23.39</v>
    <v>22.47</v>
    <v>0.91739999999999999</v>
    <v>-6.5000000000000002E-2</v>
    <v>0</v>
    <v>-2.872E-3</v>
    <v>0</v>
    <v>USD</v>
    <v>CBOE BZX Exchange</v>
    <v>BATS</v>
    <v>5.0000000000000001E-4</v>
    <v>22.6099</v>
    <v>ETF</v>
    <v>46223.982031863285</v>
    <v>350</v>
    <v>22.55</v>
    <v>43729889996.540001</v>
    <v>iShares:US Treasury Bond</v>
    <v>22.6</v>
    <v>22.63</v>
    <v>22.565000000000001</v>
    <v>22.57</v>
    <v>GOVT</v>
    <v>iShares:US Treasury Bond (BATS:GOVT)</v>
    <v>5385636</v>
    <v>7692664</v>
  </rv>
  <rv s="2">
    <v>351</v>
  </rv>
  <rv s="0">
    <v>https://www.bing.com/financeapi/forcetrigger?t=a22xmw&amp;q=XNAS%3aSHY&amp;form=skydnc</v>
    <v>Learn more on Bing</v>
  </rv>
  <rv s="1">
    <v>en-US</v>
    <v>a22xmw</v>
    <v>268435456</v>
    <v>1</v>
    <v>Powered by Refinitiv</v>
    <v>0</v>
    <v>iShares:1-3 Trs Bd ETF (XNAS:SHY)</v>
    <v>2</v>
    <v>3</v>
    <v>Finance</v>
    <v>4</v>
    <v>83.2</v>
    <v>81.790000000000006</v>
    <v>1.0237000000000001</v>
    <v>-3.5000000000000003E-2</v>
    <v>-6.1009999999999994E-5</v>
    <v>-4.2689999999999997E-4</v>
    <v>-5.0000000000000001E-3</v>
    <v>USD</v>
    <v>Nasdaq Stock Market</v>
    <v>XNAS</v>
    <v>1.5E-3</v>
    <v>81.99</v>
    <v>ETF</v>
    <v>46223.982083437499</v>
    <v>353</v>
    <v>81.92</v>
    <v>25358273054.900002</v>
    <v>iShares:1-3 Trs Bd ETF</v>
    <v>81.99</v>
    <v>81.99</v>
    <v>81.954999999999998</v>
    <v>81.95</v>
    <v>SHY</v>
    <v>iShares:1-3 Trs Bd ETF (XNAS:SHY)</v>
    <v>2909639</v>
    <v>3523683</v>
  </rv>
  <rv s="2">
    <v>354</v>
  </rv>
  <rv s="0">
    <v>https://www.bing.com/financeapi/forcetrigger?t=a1v1r7&amp;q=ARCX%3aHYG&amp;form=skydnc</v>
    <v>Learn more on Bing</v>
  </rv>
  <rv s="1">
    <v>en-US</v>
    <v>a1v1r7</v>
    <v>268435456</v>
    <v>1</v>
    <v>Powered by Refinitiv</v>
    <v>0</v>
    <v>iShares:iBoxx $HY Corp (ARCX:HYG)</v>
    <v>2</v>
    <v>3</v>
    <v>Finance</v>
    <v>4</v>
    <v>81.36</v>
    <v>78.564999999999998</v>
    <v>1.0321</v>
    <v>0.03</v>
    <v>1.255E-3</v>
    <v>3.7659999999999999E-4</v>
    <v>0.1</v>
    <v>USD</v>
    <v>NYSE Arca</v>
    <v>ARCX</v>
    <v>4.8999999999999998E-3</v>
    <v>79.77</v>
    <v>ETF</v>
    <v>46224.000001631248</v>
    <v>356</v>
    <v>79.665000000000006</v>
    <v>17626117386.360001</v>
    <v>iShares:iBoxx $HY Corp</v>
    <v>79.739999999999995</v>
    <v>79.650000000000006</v>
    <v>79.680000000000007</v>
    <v>79.78</v>
    <v>HYG</v>
    <v>iShares:iBoxx $HY Corp (ARCX:HYG)</v>
    <v>19767928</v>
    <v>32184020</v>
  </rv>
  <rv s="2">
    <v>357</v>
  </rv>
  <rv s="0">
    <v>https://www.bing.com/financeapi/forcetrigger?t=a1ve9c&amp;q=XNAS%3aIGOV&amp;form=skydnc</v>
    <v>Learn more on Bing</v>
  </rv>
  <rv s="1">
    <v>en-US</v>
    <v>a1ve9c</v>
    <v>268435456</v>
    <v>1</v>
    <v>Powered by Refinitiv</v>
    <v>0</v>
    <v>iShares:Itl Trs Bd (XNAS:IGOV)</v>
    <v>2</v>
    <v>3</v>
    <v>Finance</v>
    <v>4</v>
    <v>43.39</v>
    <v>40.36</v>
    <v>0.97040000000000004</v>
    <v>-0.09</v>
    <v>0</v>
    <v>-2.2079999999999999E-3</v>
    <v>0</v>
    <v>USD</v>
    <v>Nasdaq Stock Market</v>
    <v>XNAS</v>
    <v>3.4999999999999996E-3</v>
    <v>40.752299999999998</v>
    <v>ETF</v>
    <v>46223.843750150001</v>
    <v>359</v>
    <v>40.61</v>
    <v>1373260388.1500001</v>
    <v>iShares:Itl Trs Bd</v>
    <v>40.68</v>
    <v>40.770000000000003</v>
    <v>40.68</v>
    <v>40.68</v>
    <v>IGOV</v>
    <v>iShares:Itl Trs Bd (XNAS:IGOV)</v>
    <v>82519</v>
    <v>347564</v>
  </rv>
  <rv s="2">
    <v>360</v>
  </rv>
  <rv s="0">
    <v>https://www.bing.com/financeapi/forcetrigger?t=a1okbh&amp;q=ARCX%3aBKLN&amp;form=skydnc</v>
    <v>Learn more on Bing</v>
  </rv>
  <rv s="1">
    <v>en-US</v>
    <v>a1okbh</v>
    <v>268435456</v>
    <v>1</v>
    <v>Powered by Refinitiv</v>
    <v>0</v>
    <v>Invesco Senior Loan (ARCX:BKLN)</v>
    <v>2</v>
    <v>3</v>
    <v>Finance</v>
    <v>4</v>
    <v>21.07</v>
    <v>20.11</v>
    <v>0.22450000000000001</v>
    <v>1.9E-2</v>
    <v>0</v>
    <v>9.3270000000000007E-4</v>
    <v>0</v>
    <v>USD</v>
    <v>NYSE Arca</v>
    <v>ARCX</v>
    <v>6.5000000000000006E-3</v>
    <v>20.399999999999999</v>
    <v>ETF</v>
    <v>46224.000001318753</v>
    <v>362</v>
    <v>20.38</v>
    <v>7145859631.2600002</v>
    <v>Invesco Senior Loan</v>
    <v>20.399999999999999</v>
    <v>20.370999999999999</v>
    <v>20.39</v>
    <v>20.39</v>
    <v>BKLN</v>
    <v>Invesco Senior Loan (ARCX:BKLN)</v>
    <v>3771023</v>
    <v>8488983</v>
  </rv>
  <rv s="2">
    <v>363</v>
  </rv>
  <rv s="0">
    <v>https://www.bing.com/financeapi/forcetrigger?t=a26hk2&amp;q=ARCX%3aZROZ&amp;form=skydnc</v>
    <v>Learn more on Bing</v>
  </rv>
  <rv s="1">
    <v>en-US</v>
    <v>a26hk2</v>
    <v>268435456</v>
    <v>1</v>
    <v>Powered by Refinitiv</v>
    <v>0</v>
    <v>PIMCO ETF:25+ Yr US Tres (ARCX:ZROZ)</v>
    <v>2</v>
    <v>3</v>
    <v>Finance</v>
    <v>4</v>
    <v>71.215000000000003</v>
    <v>59.222000000000001</v>
    <v>1.6748000000000001</v>
    <v>-0.71</v>
    <v>1.8260000000000001E-3</v>
    <v>-1.1647000000000001E-2</v>
    <v>0.11</v>
    <v>USD</v>
    <v>NYSE Arca</v>
    <v>ARCX</v>
    <v>1.5E-3</v>
    <v>60.8</v>
    <v>ETF</v>
    <v>46224.000001654691</v>
    <v>365</v>
    <v>60.17</v>
    <v>1368219615.3900001</v>
    <v>PIMCO ETF:25+ Yr US Tres</v>
    <v>60.75</v>
    <v>60.96</v>
    <v>60.25</v>
    <v>60.36</v>
    <v>ZROZ</v>
    <v>PIMCO ETF:25+ Yr US Tres (ARCX:ZROZ)</v>
    <v>991782</v>
    <v>722931</v>
  </rv>
  <rv s="2">
    <v>366</v>
  </rv>
  <rv s="0">
    <v>https://www.bing.com/financeapi/forcetrigger?t=a24yz2&amp;q=ARCX%3aURA&amp;form=skydnc</v>
    <v>Learn more on Bing</v>
  </rv>
  <rv s="1">
    <v>en-US</v>
    <v>a24yz2</v>
    <v>268435456</v>
    <v>1</v>
    <v>Powered by Refinitiv</v>
    <v>0</v>
    <v>Glbl X Uranium ETF (ARCX:URA)</v>
    <v>2</v>
    <v>3</v>
    <v>Finance</v>
    <v>4</v>
    <v>62.28</v>
    <v>35.64</v>
    <v>0.6492</v>
    <v>-0.06</v>
    <v>-1.034E-3</v>
    <v>-1.549E-3</v>
    <v>-0.04</v>
    <v>USD</v>
    <v>NYSE Arca</v>
    <v>ARCX</v>
    <v>6.8999999999999999E-3</v>
    <v>39.04</v>
    <v>ETF</v>
    <v>46223.998287696093</v>
    <v>368</v>
    <v>38.409999999999997</v>
    <v>5997526666.21</v>
    <v>Glbl X Uranium ETF</v>
    <v>38.795000000000002</v>
    <v>38.729999999999997</v>
    <v>38.67</v>
    <v>38.630000000000003</v>
    <v>URA</v>
    <v>Glbl X Uranium ETF (ARCX:URA)</v>
    <v>2187157</v>
    <v>3026358</v>
  </rv>
  <rv s="2">
    <v>369</v>
  </rv>
  <rv s="0">
    <v>https://www.bing.com/financeapi/forcetrigger?t=a214yc&amp;q=ARCX%3aPPLT&amp;form=skydnc</v>
    <v>Learn more on Bing</v>
  </rv>
  <rv s="1">
    <v>en-US</v>
    <v>a214yc</v>
    <v>268435456</v>
    <v>1</v>
    <v>Powered by Refinitiv</v>
    <v>0</v>
    <v>abrdn:Physical Platinum (ARCX:PPLT)</v>
    <v>2</v>
    <v>3</v>
    <v>Finance</v>
    <v>4</v>
    <v>26.161999999999999</v>
    <v>11.712</v>
    <v>1.0954999999999999</v>
    <v>-0.03</v>
    <v>-4.1470000000000005E-3</v>
    <v>-2.0690000000000001E-3</v>
    <v>-0.06</v>
    <v>USD</v>
    <v>NYSE Arca</v>
    <v>ARCX</v>
    <v>6.0000000000000001E-3</v>
    <v>14.545</v>
    <v>ETF</v>
    <v>46224.00000157344</v>
    <v>371</v>
    <v>14.31</v>
    <v>1773133277.8740001</v>
    <v>abrdn:Physical Platinum</v>
    <v>14.36</v>
    <v>14.5</v>
    <v>14.47</v>
    <v>14.41</v>
    <v>PPLT</v>
    <v>abrdn:Physical Platinum (ARCX:PPLT)</v>
    <v>1899309</v>
    <v>2726818</v>
  </rv>
  <rv s="2">
    <v>372</v>
  </rv>
  <rv s="0">
    <v>https://www.bing.com/financeapi/forcetrigger?t=a1zgdm&amp;q=ARCX%3aPALL&amp;form=skydnc</v>
    <v>Learn more on Bing</v>
  </rv>
  <rv s="1">
    <v>en-US</v>
    <v>a1zgdm</v>
    <v>268435456</v>
    <v>1</v>
    <v>Powered by Refinitiv</v>
    <v>0</v>
    <v>abrdn:Physical Palladium (ARCX:PALL)</v>
    <v>2</v>
    <v>3</v>
    <v>Finance</v>
    <v>4</v>
    <v>39.481699999999996</v>
    <v>19.696000000000002</v>
    <v>0.79869999999999997</v>
    <v>0.1</v>
    <v>2.1930000000000001E-3</v>
    <v>4.4050000000000001E-3</v>
    <v>0.05</v>
    <v>USD</v>
    <v>NYSE Arca</v>
    <v>ARCX</v>
    <v>6.0000000000000001E-3</v>
    <v>23.14</v>
    <v>ETF</v>
    <v>46224.000001330467</v>
    <v>374</v>
    <v>22.782</v>
    <v>591084801.67499995</v>
    <v>abrdn:Physical Palladium</v>
    <v>22.95</v>
    <v>22.7</v>
    <v>22.8</v>
    <v>22.85</v>
    <v>PALL</v>
    <v>abrdn:Physical Palladium (ARCX:PALL)</v>
    <v>510509</v>
    <v>877585</v>
  </rv>
  <rv s="2">
    <v>375</v>
  </rv>
  <rv s="0">
    <v>https://www.bing.com/financeapi/forcetrigger?t=a233ur&amp;q=ARCX%3aSLV&amp;form=skydnc</v>
    <v>Learn more on Bing</v>
  </rv>
  <rv s="1">
    <v>en-US</v>
    <v>a233ur</v>
    <v>268435456</v>
    <v>1</v>
    <v>Powered by Refinitiv</v>
    <v>0</v>
    <v>IShares:Silver Trust (ARCX:SLV)</v>
    <v>2</v>
    <v>3</v>
    <v>Finance</v>
    <v>4</v>
    <v>109.83</v>
    <v>33.100099999999998</v>
    <v>1.4424999999999999</v>
    <v>0.2</v>
    <v>-7.8459999999999999E-4</v>
    <v>3.9389999999999998E-3</v>
    <v>-0.04</v>
    <v>USD</v>
    <v>NYSE Arca</v>
    <v>ARCX</v>
    <v>5.0000000000000001E-3</v>
    <v>51.7</v>
    <v>ETF</v>
    <v>46224.000001666405</v>
    <v>377</v>
    <v>50.95</v>
    <v>28194188388.849998</v>
    <v>IShares:Silver Trust</v>
    <v>51.2</v>
    <v>50.78</v>
    <v>50.98</v>
    <v>50.94</v>
    <v>SLV</v>
    <v>IShares:Silver Trust (ARCX:SLV)</v>
    <v>12897577</v>
    <v>19879167</v>
  </rv>
  <rv s="2">
    <v>378</v>
  </rv>
  <rv s="0">
    <v>https://www.bing.com/financeapi/forcetrigger?t=a1q7rw&amp;q=ARCX%3aCPER&amp;form=skydnc</v>
    <v>Learn more on Bing</v>
  </rv>
  <rv s="1">
    <v>en-US</v>
    <v>a1q7rw</v>
    <v>268435456</v>
    <v>1</v>
    <v>Powered by Refinitiv</v>
    <v>0</v>
    <v>United States Copper Idx (ARCX:CPER)</v>
    <v>2</v>
    <v>3</v>
    <v>Finance</v>
    <v>4</v>
    <v>40.78</v>
    <v>27.08</v>
    <v>1.0529999999999999</v>
    <v>0.5</v>
    <v>-8.3289999999999996E-3</v>
    <v>1.3186E-2</v>
    <v>-0.32</v>
    <v>USD</v>
    <v>NYSE Arca</v>
    <v>ARCX</v>
    <v>8.8000000000000005E-3</v>
    <v>38.494999999999997</v>
    <v>ETF</v>
    <v>46224.000001423439</v>
    <v>380</v>
    <v>38.270000000000003</v>
    <v>737944734.12</v>
    <v>United States Copper Idx</v>
    <v>38.31</v>
    <v>37.92</v>
    <v>38.42</v>
    <v>38.1</v>
    <v>CPER</v>
    <v>United States Copper Idx (ARCX:CPER)</v>
    <v>319130</v>
    <v>481723</v>
  </rv>
  <rv s="2">
    <v>381</v>
  </rv>
  <rv s="0">
    <v>https://www.bing.com/financeapi/forcetrigger?t=a268nm&amp;q=ARCX%3aXME&amp;form=skydnc</v>
    <v>Learn more on Bing</v>
  </rv>
  <rv s="1">
    <v>en-US</v>
    <v>a268nm</v>
    <v>268435456</v>
    <v>1</v>
    <v>Powered by Refinitiv</v>
    <v>0</v>
    <v>SS SPDR S&amp;P Metals&amp;Mng (ARCX:XME)</v>
    <v>2</v>
    <v>3</v>
    <v>Finance</v>
    <v>4</v>
    <v>135.6764</v>
    <v>71.069999999999993</v>
    <v>0.70650000000000002</v>
    <v>-0.61</v>
    <v>1.1514E-2</v>
    <v>-6.202E-3</v>
    <v>1.1254</v>
    <v>USD</v>
    <v>NYSE Arca</v>
    <v>ARCX</v>
    <v>3.4999999999999996E-3</v>
    <v>99.32</v>
    <v>ETF</v>
    <v>46224.00000157344</v>
    <v>383</v>
    <v>96.93</v>
    <v>4383336202.1999998</v>
    <v>SS SPDR S&amp;P Metals&amp;Mng</v>
    <v>98.71</v>
    <v>98.35</v>
    <v>97.74</v>
    <v>98.865399999999994</v>
    <v>XME</v>
    <v>SS SPDR S&amp;P Metals&amp;Mng (ARCX:XME)</v>
    <v>1515080</v>
    <v>2054891</v>
  </rv>
  <rv s="2">
    <v>384</v>
  </rv>
  <rv s="0">
    <v>https://www.bing.com/financeapi/forcetrigger?t=a25yoc&amp;q=XNAS%3aWOOD&amp;form=skydnc</v>
    <v>Learn more on Bing</v>
  </rv>
  <rv s="1">
    <v>en-US</v>
    <v>a25yoc</v>
    <v>268435456</v>
    <v>1</v>
    <v>Powered by Refinitiv</v>
    <v>0</v>
    <v>iShares:Gl Timber (XNAS:WOOD)</v>
    <v>2</v>
    <v>3</v>
    <v>Finance</v>
    <v>4</v>
    <v>83.32</v>
    <v>64.53</v>
    <v>0.88629999999999998</v>
    <v>-0.75990000000000002</v>
    <v>1.369E-3</v>
    <v>-1.0983E-2</v>
    <v>9.3700000000000006E-2</v>
    <v>USD</v>
    <v>Nasdaq Stock Market</v>
    <v>XNAS</v>
    <v>4.0000000000000001E-3</v>
    <v>68.66</v>
    <v>ETF</v>
    <v>46223.994341260935</v>
    <v>386</v>
    <v>68.316699999999997</v>
    <v>246789338.19</v>
    <v>iShares:Gl Timber</v>
    <v>68.612200000000001</v>
    <v>69.186199999999999</v>
    <v>68.426299999999998</v>
    <v>68.52</v>
    <v>WOOD</v>
    <v>iShares:Gl Timber (XNAS:WOOD)</v>
    <v>12294</v>
    <v>11567</v>
  </rv>
  <rv s="2">
    <v>387</v>
  </rv>
  <rv s="0">
    <v>https://www.bing.com/financeapi/forcetrigger?t=a1wxdm&amp;q=ARCX%3aLIT&amp;form=skydnc</v>
    <v>Learn more on Bing</v>
  </rv>
  <rv s="1">
    <v>en-US</v>
    <v>a1wxdm</v>
    <v>268435456</v>
    <v>1</v>
    <v>Powered by Refinitiv</v>
    <v>0</v>
    <v>Glbl X Lith &amp; Bat Tech (ARCX:LIT)</v>
    <v>2</v>
    <v>3</v>
    <v>Finance</v>
    <v>4</v>
    <v>91.98</v>
    <v>40.409999999999997</v>
    <v>0.86319999999999997</v>
    <v>-1.46</v>
    <v>-4.483E-3</v>
    <v>-2.1350999999999998E-2</v>
    <v>-0.3</v>
    <v>USD</v>
    <v>NYSE Arca</v>
    <v>ARCX</v>
    <v>7.4999999999999997E-3</v>
    <v>67.745000000000005</v>
    <v>ETF</v>
    <v>46224.000001435154</v>
    <v>389</v>
    <v>66.78</v>
    <v>1772738317.3199999</v>
    <v>Glbl X Lith &amp; Bat Tech</v>
    <v>67.459999999999994</v>
    <v>68.38</v>
    <v>66.92</v>
    <v>66.62</v>
    <v>LIT</v>
    <v>Glbl X Lith &amp; Bat Tech (ARCX:LIT)</v>
    <v>179350</v>
    <v>273103</v>
  </rv>
  <rv s="2">
    <v>390</v>
  </rv>
  <rv s="0">
    <v>https://www.bing.com/financeapi/forcetrigger?t=a1y9kr&amp;q=ARCX%3aNANR&amp;form=skydnc</v>
    <v>Learn more on Bing</v>
  </rv>
  <rv s="1">
    <v>en-US</v>
    <v>a1y9kr</v>
    <v>268435456</v>
    <v>1</v>
    <v>Powered by Refinitiv</v>
    <v>0</v>
    <v>SS SPDR S&amp;P NA Nat Res (ARCX:NANR)</v>
    <v>2</v>
    <v>3</v>
    <v>Finance</v>
    <v>4</v>
    <v>86.58</v>
    <v>56.481000000000002</v>
    <v>1.0448999999999999</v>
    <v>-0.12</v>
    <v>0</v>
    <v>-1.542E-3</v>
    <v>0</v>
    <v>USD</v>
    <v>NYSE Arca</v>
    <v>ARCX</v>
    <v>3.4999999999999996E-3</v>
    <v>77.930000000000007</v>
    <v>ETF</v>
    <v>46223.982001284377</v>
    <v>392</v>
    <v>77.358699999999999</v>
    <v>735533430.58000004</v>
    <v>SS SPDR S&amp;P NA Nat Res</v>
    <v>77.510000000000005</v>
    <v>77.81</v>
    <v>77.69</v>
    <v>77.69</v>
    <v>NANR</v>
    <v>SS SPDR S&amp;P NA Nat Res (ARCX:NANR)</v>
    <v>12568</v>
    <v>27975</v>
  </rv>
  <rv s="2">
    <v>393</v>
  </rv>
  <rv s="0">
    <v>https://www.bing.com/financeapi/forcetrigger?t=a24uhw&amp;q=ARCX%3aUGA&amp;form=skydnc</v>
    <v>Learn more on Bing</v>
  </rv>
  <rv s="1">
    <v>en-US</v>
    <v>a24uhw</v>
    <v>268435456</v>
    <v>1</v>
    <v>Powered by Refinitiv</v>
    <v>0</v>
    <v>United States Gas (ARCX:UGA)</v>
    <v>2</v>
    <v>3</v>
    <v>Finance</v>
    <v>4</v>
    <v>125.47</v>
    <v>60.3992</v>
    <v>0.77869999999999995</v>
    <v>0.76</v>
    <v>0</v>
    <v>6.3400000000000001E-3</v>
    <v>0</v>
    <v>USD</v>
    <v>NYSE Arca</v>
    <v>ARCX</v>
    <v>1.03E-2</v>
    <v>120.93</v>
    <v>ETF</v>
    <v>46224.000001654691</v>
    <v>395</v>
    <v>119.43</v>
    <v>107687222.43000001</v>
    <v>United States Gas</v>
    <v>120.33</v>
    <v>119.87</v>
    <v>120.63</v>
    <v>120.63</v>
    <v>UGA</v>
    <v>United States Gas (ARCX:UGA)</v>
    <v>40649</v>
    <v>37137</v>
  </rv>
  <rv s="2">
    <v>396</v>
  </rv>
  <rv s="0">
    <v>https://www.bing.com/financeapi/forcetrigger?t=a1p6dm&amp;q=ARCX%3aCANE&amp;form=skydnc</v>
    <v>Learn more on Bing</v>
  </rv>
  <rv s="1">
    <v>en-US</v>
    <v>a1p6dm</v>
    <v>268435456</v>
    <v>1</v>
    <v>Powered by Refinitiv</v>
    <v>0</v>
    <v>Teucrium:Sugar (ARCX:CANE)</v>
    <v>2</v>
    <v>3</v>
    <v>Finance</v>
    <v>4</v>
    <v>11.31</v>
    <v>8.9700000000000006</v>
    <v>-0.32850000000000001</v>
    <v>0.03</v>
    <v>1.0235000000000001E-2</v>
    <v>3.0799999999999998E-3</v>
    <v>0.1</v>
    <v>USD</v>
    <v>NYSE Arca</v>
    <v>ARCX</v>
    <v>4.2699999999999995E-2</v>
    <v>9.8000000000000007</v>
    <v>ETF</v>
    <v>46224.000001469532</v>
    <v>398</v>
    <v>9.73</v>
    <v>72719877.060000002</v>
    <v>Teucrium:Sugar</v>
    <v>9.75</v>
    <v>9.74</v>
    <v>9.77</v>
    <v>9.8699999999999992</v>
    <v>CANE</v>
    <v>Teucrium:Sugar (ARCX:CANE)</v>
    <v>103737</v>
    <v>251345</v>
  </rv>
  <rv s="2">
    <v>399</v>
  </rv>
  <rv s="0">
    <v>https://www.bing.com/financeapi/forcetrigger?t=a1qrar&amp;q=ARCX%3aDBB&amp;form=skydnc</v>
    <v>Learn more on Bing</v>
  </rv>
  <rv s="1">
    <v>en-US</v>
    <v>a1qrar</v>
    <v>268435456</v>
    <v>1</v>
    <v>Powered by Refinitiv</v>
    <v>0</v>
    <v>Invesco DB MS BMtl (ARCX:DBB)</v>
    <v>2</v>
    <v>3</v>
    <v>Finance</v>
    <v>4</v>
    <v>26.71</v>
    <v>17.809999999999999</v>
    <v>0.91190000000000004</v>
    <v>-0.01</v>
    <v>0</v>
    <v>-4.0769999999999999E-4</v>
    <v>0</v>
    <v>USD</v>
    <v>NYSE Arca</v>
    <v>ARCX</v>
    <v>7.4000000000000003E-3</v>
    <v>24.58</v>
    <v>ETF</v>
    <v>46223.98203424766</v>
    <v>401</v>
    <v>24.44</v>
    <v>351514551.44999999</v>
    <v>Invesco DB MS BMtl</v>
    <v>24.52</v>
    <v>24.53</v>
    <v>24.52</v>
    <v>24.52</v>
    <v>DBB</v>
    <v>Invesco DB MS BMtl (ARCX:DBB)</v>
    <v>61742</v>
    <v>262837</v>
  </rv>
  <rv s="2">
    <v>402</v>
  </rv>
  <rv s="0">
    <v>https://www.bing.com/financeapi/forcetrigger?t=a259p2&amp;q=ARCX%3aVEGI&amp;form=skydnc</v>
    <v>Learn more on Bing</v>
  </rv>
  <rv s="1">
    <v>en-US</v>
    <v>a259p2</v>
    <v>268435456</v>
    <v>1</v>
    <v>Powered by Refinitiv</v>
    <v>0</v>
    <v>iShares:MSCI Agri Prod (ARCX:VEGI)</v>
    <v>2</v>
    <v>3</v>
    <v>Finance</v>
    <v>4</v>
    <v>47.27</v>
    <v>38</v>
    <v>0.75180000000000002</v>
    <v>-0.24</v>
    <v>0</v>
    <v>-5.3420000000000004E-3</v>
    <v>0</v>
    <v>USD</v>
    <v>NYSE Arca</v>
    <v>ARCX</v>
    <v>3.9000000000000003E-3</v>
    <v>45</v>
    <v>ETF</v>
    <v>46223.982077048437</v>
    <v>404</v>
    <v>44.52</v>
    <v>157027923.93000001</v>
    <v>iShares:MSCI Agri Prod</v>
    <v>45</v>
    <v>44.93</v>
    <v>44.69</v>
    <v>44.69</v>
    <v>VEGI</v>
    <v>iShares:MSCI Agri Prod (ARCX:VEGI)</v>
    <v>32312</v>
    <v>37757</v>
  </rv>
  <rv s="2">
    <v>405</v>
  </rv>
  <rv s="0">
    <v>https://www.bing.com/financeapi/forcetrigger?t=a1twnm&amp;q=ARCX%3aGLD&amp;form=skydnc</v>
    <v>Learn more on Bing</v>
  </rv>
  <rv s="1">
    <v>en-US</v>
    <v>a1twnm</v>
    <v>268435456</v>
    <v>1</v>
    <v>Powered by Refinitiv</v>
    <v>0</v>
    <v>SPDR Gold (ARCX:GLD)</v>
    <v>2</v>
    <v>3</v>
    <v>Finance</v>
    <v>4</v>
    <v>509.7</v>
    <v>300.95499999999998</v>
    <v>0.82789999999999997</v>
    <v>-0.81</v>
    <v>2.72E-5</v>
    <v>-2.199E-3</v>
    <v>0.01</v>
    <v>USD</v>
    <v>NYSE Arca</v>
    <v>ARCX</v>
    <v>4.0000000000000001E-3</v>
    <v>368.78930000000003</v>
    <v>ETF</v>
    <v>46224.000000902342</v>
    <v>407</v>
    <v>366.8</v>
    <v>130053278206.09</v>
    <v>SPDR Gold</v>
    <v>367.79</v>
    <v>368.41</v>
    <v>367.6</v>
    <v>367.61</v>
    <v>GLD</v>
    <v>SPDR Gold (ARCX:GLD)</v>
    <v>3922524</v>
    <v>6818976</v>
  </rv>
  <rv s="2">
    <v>408</v>
  </rv>
  <rv s="0">
    <v>https://www.bing.com/financeapi/forcetrigger?t=a1xurw&amp;q=ARCX%3aMOO&amp;form=skydnc</v>
    <v>Learn more on Bing</v>
  </rv>
  <rv s="1">
    <v>en-US</v>
    <v>a1xurw</v>
    <v>268435456</v>
    <v>1</v>
    <v>Powered by Refinitiv</v>
    <v>0</v>
    <v>VanEck:Agribusiness (ARCX:MOO)</v>
    <v>2</v>
    <v>3</v>
    <v>Finance</v>
    <v>4</v>
    <v>86.558300000000003</v>
    <v>69.319999999999993</v>
    <v>0.80459999999999998</v>
    <v>-0.52</v>
    <v>0</v>
    <v>-6.3010000000000002E-3</v>
    <v>0</v>
    <v>USD</v>
    <v>NYSE Arca</v>
    <v>ARCX</v>
    <v>5.6000000000000008E-3</v>
    <v>82.46</v>
    <v>ETF</v>
    <v>46223.982015856251</v>
    <v>410</v>
    <v>81.91</v>
    <v>943893336.36000001</v>
    <v>VanEck:Agribusiness</v>
    <v>82.46</v>
    <v>82.53</v>
    <v>82.01</v>
    <v>82.01</v>
    <v>MOO</v>
    <v>VanEck:Agribusiness (ARCX:MOO)</v>
    <v>113205</v>
    <v>184857</v>
  </rv>
  <rv s="2">
    <v>411</v>
  </rv>
  <rv s="0">
    <v>https://www.bing.com/financeapi/forcetrigger?t=a1qrgh&amp;q=ARCX%3aDBC&amp;form=skydnc</v>
    <v>Learn more on Bing</v>
  </rv>
  <rv s="1">
    <v>en-US</v>
    <v>a1qrgh</v>
    <v>268435456</v>
    <v>1</v>
    <v>Powered by Refinitiv</v>
    <v>0</v>
    <v>Invesco DB Cm Idx (ARCX:DBC)</v>
    <v>2</v>
    <v>3</v>
    <v>Finance</v>
    <v>4</v>
    <v>31.79</v>
    <v>21.59</v>
    <v>0.40289999999999998</v>
    <v>0.16</v>
    <v>0</v>
    <v>5.5210000000000007E-3</v>
    <v>0</v>
    <v>USD</v>
    <v>NYSE Arca</v>
    <v>ARCX</v>
    <v>8.199999999999999E-3</v>
    <v>29.22</v>
    <v>ETF</v>
    <v>46224.000001631248</v>
    <v>413</v>
    <v>28.925000000000001</v>
    <v>1582949532.8699999</v>
    <v>Invesco DB Cm Idx</v>
    <v>28.99</v>
    <v>28.98</v>
    <v>29.14</v>
    <v>29.14</v>
    <v>DBC</v>
    <v>Invesco DB Cm Idx (ARCX:DBC)</v>
    <v>808959</v>
    <v>933951</v>
  </rv>
  <rv s="2">
    <v>414</v>
  </rv>
  <rv s="0">
    <v>https://www.bing.com/financeapi/forcetrigger?t=a1qr27&amp;q=ARCX%3aDBA&amp;form=skydnc</v>
    <v>Learn more on Bing</v>
  </rv>
  <rv s="1">
    <v>en-US</v>
    <v>a1qr27</v>
    <v>268435456</v>
    <v>1</v>
    <v>Powered by Refinitiv</v>
    <v>0</v>
    <v>Invesco DB MS Agri (ARCX:DBA)</v>
    <v>2</v>
    <v>3</v>
    <v>Finance</v>
    <v>4</v>
    <v>28.84</v>
    <v>25.4</v>
    <v>0.63970000000000005</v>
    <v>0.18</v>
    <v>-5.7099999999999998E-3</v>
    <v>6.4659999999999995E-3</v>
    <v>-0.16</v>
    <v>USD</v>
    <v>NYSE Arca</v>
    <v>ARCX</v>
    <v>8.3000000000000001E-3</v>
    <v>28.08</v>
    <v>ETF</v>
    <v>46224.000001608591</v>
    <v>416</v>
    <v>27.9</v>
    <v>1158422898.6700001</v>
    <v>Invesco DB MS Agri</v>
    <v>27.98</v>
    <v>27.84</v>
    <v>28.02</v>
    <v>27.86</v>
    <v>DBA</v>
    <v>Invesco DB MS Agri (ARCX:DBA)</v>
    <v>713463</v>
    <v>995332</v>
  </rv>
  <rv s="2">
    <v>417</v>
  </rv>
  <rv s="0">
    <v>https://www.bing.com/financeapi/forcetrigger?t=a23c1h&amp;q=ARCX%3aSOYB&amp;form=skydnc</v>
    <v>Learn more on Bing</v>
  </rv>
  <rv s="1">
    <v>en-US</v>
    <v>a23c1h</v>
    <v>268435456</v>
    <v>1</v>
    <v>Powered by Refinitiv</v>
    <v>0</v>
    <v>Teucrium:Soybean (ARCX:SOYB)</v>
    <v>2</v>
    <v>3</v>
    <v>Finance</v>
    <v>4</v>
    <v>26</v>
    <v>21.06</v>
    <v>0.98850000000000005</v>
    <v>0.39</v>
    <v>0</v>
    <v>1.5300000000000001E-2</v>
    <v>0</v>
    <v>USD</v>
    <v>NYSE Arca</v>
    <v>ARCX</v>
    <v>3.3399999999999999E-2</v>
    <v>26</v>
    <v>ETF</v>
    <v>46224.000001654691</v>
    <v>419</v>
    <v>25.76</v>
    <v>48191425.969999999</v>
    <v>Teucrium:Soybean</v>
    <v>25.76</v>
    <v>25.49</v>
    <v>25.88</v>
    <v>25.88</v>
    <v>SOYB</v>
    <v>Teucrium:Soybean (ARCX:SOYB)</v>
    <v>62262</v>
    <v>76972</v>
  </rv>
  <rv s="2">
    <v>420</v>
  </rv>
  <rv s="0">
    <v>https://www.bing.com/financeapi/forcetrigger?t=a25sbh&amp;q=ARCX%3aWEAT&amp;form=skydnc</v>
    <v>Learn more on Bing</v>
  </rv>
  <rv s="1">
    <v>en-US</v>
    <v>a25sbh</v>
    <v>268435456</v>
    <v>1</v>
    <v>Powered by Refinitiv</v>
    <v>0</v>
    <v>Teucrium:Wheat (ARCX:WEAT)</v>
    <v>2</v>
    <v>3</v>
    <v>Finance</v>
    <v>4</v>
    <v>25.6</v>
    <v>19.78</v>
    <v>0.98019999999999996</v>
    <v>-0.26</v>
    <v>-3.6009999999999996E-3</v>
    <v>-1.0297000000000001E-2</v>
    <v>-0.09</v>
    <v>USD</v>
    <v>NYSE Arca</v>
    <v>ARCX</v>
    <v>3.1800000000000002E-2</v>
    <v>25.32</v>
    <v>ETF</v>
    <v>46224.000001318753</v>
    <v>422</v>
    <v>24.98</v>
    <v>269329707</v>
    <v>Teucrium:Wheat</v>
    <v>25.31</v>
    <v>25.25</v>
    <v>24.99</v>
    <v>24.9</v>
    <v>WEAT</v>
    <v>Teucrium:Wheat (ARCX:WEAT)</v>
    <v>502478</v>
    <v>436401</v>
  </rv>
  <rv s="2">
    <v>423</v>
  </rv>
  <rv s="0">
    <v>https://www.bing.com/financeapi/forcetrigger?t=a1q62w&amp;q=ARCX%3aCORN&amp;form=skydnc</v>
    <v>Learn more on Bing</v>
  </rv>
  <rv s="1">
    <v>en-US</v>
    <v>a1q62w</v>
    <v>268435456</v>
    <v>1</v>
    <v>Powered by Refinitiv</v>
    <v>0</v>
    <v>Teucrium:Corn (ARCX:CORN)</v>
    <v>2</v>
    <v>3</v>
    <v>Finance</v>
    <v>4</v>
    <v>19.13</v>
    <v>16.364999999999998</v>
    <v>0.77290000000000003</v>
    <v>0.13</v>
    <v>1.1169999999999999E-3</v>
    <v>7.3119999999999999E-3</v>
    <v>0.02</v>
    <v>USD</v>
    <v>NYSE Arca</v>
    <v>ARCX</v>
    <v>3.4500000000000003E-2</v>
    <v>18.03</v>
    <v>ETF</v>
    <v>46224.00000157344</v>
    <v>425</v>
    <v>17.864999999999998</v>
    <v>176598311.77000001</v>
    <v>Teucrium:Corn</v>
    <v>17.98</v>
    <v>17.78</v>
    <v>17.91</v>
    <v>17.93</v>
    <v>CORN</v>
    <v>Teucrium:Corn (ARCX:CORN)</v>
    <v>344402</v>
    <v>345923</v>
  </rv>
  <rv s="2">
    <v>426</v>
  </rv>
  <rv s="0">
    <v>https://www.bing.com/financeapi/forcetrigger?t=a24xim&amp;q=ARCX%3aUNG&amp;form=skydnc</v>
    <v>Learn more on Bing</v>
  </rv>
  <rv s="1">
    <v>en-US</v>
    <v>a24xim</v>
    <v>268435456</v>
    <v>1</v>
    <v>Powered by Refinitiv</v>
    <v>0</v>
    <v>United States Nat Gas (ARCX:UNG)</v>
    <v>2</v>
    <v>3</v>
    <v>Finance</v>
    <v>4</v>
    <v>17.024999999999999</v>
    <v>9.9499999999999993</v>
    <v>1.7015</v>
    <v>-0.22</v>
    <v>1.6420000000000002E-3</v>
    <v>-2.0931999999999999E-2</v>
    <v>1.6899999999999998E-2</v>
    <v>USD</v>
    <v>NYSE Arca</v>
    <v>ARCX</v>
    <v>1.1699999999999999E-2</v>
    <v>10.38</v>
    <v>ETF</v>
    <v>46223.997337233595</v>
    <v>428</v>
    <v>10.23</v>
    <v>418879088.52999997</v>
    <v>United States Nat Gas</v>
    <v>10.38</v>
    <v>10.51</v>
    <v>10.29</v>
    <v>10.306900000000001</v>
    <v>UNG</v>
    <v>United States Nat Gas (ARCX:UNG)</v>
    <v>7163214</v>
    <v>6453661</v>
  </rv>
  <rv s="2">
    <v>429</v>
  </rv>
  <rv s="0">
    <v>https://www.bing.com/financeapi/forcetrigger?t=a1sh27&amp;q=ARCX%3aEWY&amp;form=skydnc</v>
    <v>Learn more on Bing</v>
  </rv>
  <rv s="1">
    <v>en-US</v>
    <v>a1sh27</v>
    <v>268435456</v>
    <v>1</v>
    <v>Powered by Refinitiv</v>
    <v>0</v>
    <v>iShares:MSCI S Korea (ARCX:EWY)</v>
    <v>2</v>
    <v>3</v>
    <v>Finance</v>
    <v>4</v>
    <v>220.89</v>
    <v>70.36</v>
    <v>1.9489000000000001</v>
    <v>0.32</v>
    <v>-1.8419999999999998E-4</v>
    <v>1.9689999999999998E-3</v>
    <v>-0.03</v>
    <v>USD</v>
    <v>NYSE Arca</v>
    <v>ARCX</v>
    <v>5.8999999999999999E-3</v>
    <v>167.56</v>
    <v>ETF</v>
    <v>46224.000001041408</v>
    <v>431</v>
    <v>162.57</v>
    <v>24467889210.389999</v>
    <v>iShares:MSCI S Korea</v>
    <v>165.19499999999999</v>
    <v>162.54</v>
    <v>162.86000000000001</v>
    <v>162.83000000000001</v>
    <v>EWY</v>
    <v>iShares:MSCI S Korea (ARCX:EWY)</v>
    <v>19112156</v>
    <v>23352060</v>
  </rv>
  <rv s="2">
    <v>432</v>
  </rv>
  <rv s="0">
    <v>https://www.bing.com/financeapi/forcetrigger?t=a1sgk2&amp;q=ARCX%3aEWT&amp;form=skydnc</v>
    <v>Learn more on Bing</v>
  </rv>
  <rv s="1">
    <v>en-US</v>
    <v>a1sgk2</v>
    <v>268435456</v>
    <v>1</v>
    <v>Powered by Refinitiv</v>
    <v>0</v>
    <v>iShares:MSCI Taiwan (ARCX:EWT)</v>
    <v>2</v>
    <v>3</v>
    <v>Finance</v>
    <v>4</v>
    <v>112.78</v>
    <v>57.56</v>
    <v>0.81859999999999999</v>
    <v>-1.39</v>
    <v>-2.8870000000000002E-4</v>
    <v>-1.4280999999999999E-2</v>
    <v>-2.7699999999999999E-2</v>
    <v>USD</v>
    <v>NYSE Arca</v>
    <v>ARCX</v>
    <v>5.8999999999999999E-3</v>
    <v>97.13</v>
    <v>ETF</v>
    <v>46224.000001654691</v>
    <v>434</v>
    <v>95.435000000000002</v>
    <v>11151457836.15</v>
    <v>iShares:MSCI Taiwan</v>
    <v>96.64</v>
    <v>97.33</v>
    <v>95.94</v>
    <v>95.912300000000002</v>
    <v>EWT</v>
    <v>iShares:MSCI Taiwan (ARCX:EWT)</v>
    <v>11692230</v>
    <v>6563228</v>
  </rv>
  <rv s="2">
    <v>435</v>
  </rv>
  <rv s="0">
    <v>https://www.bing.com/financeapi/forcetrigger?t=a1sff2&amp;q=ARCX%3aEWH&amp;form=skydnc</v>
    <v>Learn more on Bing</v>
  </rv>
  <rv s="1">
    <v>en-US</v>
    <v>a1sff2</v>
    <v>268435456</v>
    <v>1</v>
    <v>Powered by Refinitiv</v>
    <v>0</v>
    <v>iShares:MSCI Hong Kong (ARCX:EWH)</v>
    <v>2</v>
    <v>3</v>
    <v>Finance</v>
    <v>4</v>
    <v>24.66</v>
    <v>20.3</v>
    <v>0.72670000000000001</v>
    <v>0.1</v>
    <v>9.0329999999999989E-4</v>
    <v>4.5370000000000002E-3</v>
    <v>0.02</v>
    <v>USD</v>
    <v>NYSE Arca</v>
    <v>ARCX</v>
    <v>5.0000000000000001E-3</v>
    <v>22.2</v>
    <v>ETF</v>
    <v>46224.000001631248</v>
    <v>437</v>
    <v>22.074999999999999</v>
    <v>1130735775.22</v>
    <v>iShares:MSCI Hong Kong</v>
    <v>22.17</v>
    <v>22.04</v>
    <v>22.14</v>
    <v>22.16</v>
    <v>EWH</v>
    <v>iShares:MSCI Hong Kong (ARCX:EWH)</v>
    <v>4234847</v>
    <v>3103108</v>
  </rv>
  <rv s="2">
    <v>438</v>
  </rv>
  <rv s="0">
    <v>https://www.bing.com/financeapi/forcetrigger?t=a1rour&amp;q=ARCX%3aEEM&amp;form=skydnc</v>
    <v>Learn more on Bing</v>
  </rv>
  <rv s="1">
    <v>en-US</v>
    <v>a1rour</v>
    <v>268435456</v>
    <v>1</v>
    <v>Powered by Refinitiv</v>
    <v>0</v>
    <v>iShares:MSCI Em Mkts (ARCX:EEM)</v>
    <v>2</v>
    <v>3</v>
    <v>Finance</v>
    <v>4</v>
    <v>71.569999999999993</v>
    <v>47.98</v>
    <v>0.87190000000000001</v>
    <v>0.27</v>
    <v>1.101E-3</v>
    <v>4.2659999999999998E-3</v>
    <v>7.0000000000000007E-2</v>
    <v>USD</v>
    <v>NYSE Arca</v>
    <v>ARCX</v>
    <v>7.1999999999999998E-3</v>
    <v>64.170699999999997</v>
    <v>ETF</v>
    <v>46223.999675810155</v>
    <v>440</v>
    <v>63.48</v>
    <v>30315917539.310001</v>
    <v>iShares:MSCI Em Mkts</v>
    <v>64.034999999999997</v>
    <v>63.29</v>
    <v>63.56</v>
    <v>63.63</v>
    <v>EEM</v>
    <v>iShares:MSCI Em Mkts (ARCX:EEM)</v>
    <v>19269608</v>
    <v>28558582</v>
  </rv>
  <rv s="2">
    <v>441</v>
  </rv>
  <rv s="0">
    <v>https://www.bing.com/financeapi/forcetrigger?t=a1sfz2&amp;q=ARCX%3aEWN&amp;form=skydnc</v>
    <v>Learn more on Bing</v>
  </rv>
  <rv s="1">
    <v>en-US</v>
    <v>a1sfz2</v>
    <v>268435456</v>
    <v>1</v>
    <v>Powered by Refinitiv</v>
    <v>0</v>
    <v>iShares:MSCI Netherlands (ARCX:EWN)</v>
    <v>2</v>
    <v>3</v>
    <v>Finance</v>
    <v>4</v>
    <v>71.174999999999997</v>
    <v>50.56</v>
    <v>1.0042</v>
    <v>-0.33</v>
    <v>0</v>
    <v>-4.9350000000000002E-3</v>
    <v>0</v>
    <v>USD</v>
    <v>NYSE Arca</v>
    <v>ARCX</v>
    <v>5.0000000000000001E-3</v>
    <v>67.42</v>
    <v>ETF</v>
    <v>46223.982020462499</v>
    <v>443</v>
    <v>66.245000000000005</v>
    <v>558613455.32000005</v>
    <v>iShares:MSCI Netherlands</v>
    <v>67.39</v>
    <v>66.87</v>
    <v>66.540000000000006</v>
    <v>66.540000000000006</v>
    <v>EWN</v>
    <v>iShares:MSCI Netherlands (ARCX:EWN)</v>
    <v>122322</v>
    <v>207801</v>
  </rv>
  <rv s="2">
    <v>444</v>
  </rv>
  <rv s="0">
    <v>https://www.bing.com/financeapi/forcetrigger?t=a1vjec&amp;q=BATS%3aINDA&amp;form=skydnc</v>
    <v>Learn more on Bing</v>
  </rv>
  <rv s="1">
    <v>en-US</v>
    <v>a1vjec</v>
    <v>268435456</v>
    <v>1</v>
    <v>Powered by Refinitiv</v>
    <v>0</v>
    <v>iShares:MSCI India (BATS:INDA)</v>
    <v>2</v>
    <v>3</v>
    <v>Finance</v>
    <v>11</v>
    <v>55.5</v>
    <v>45.211799999999997</v>
    <v>0.80620000000000003</v>
    <v>-0.36</v>
    <v>3.2959999999999999E-3</v>
    <v>-7.3600000000000002E-3</v>
    <v>0.16</v>
    <v>USD</v>
    <v>CBOE BZX Exchange</v>
    <v>BATS</v>
    <v>6.0999999999999995E-3</v>
    <v>48.95</v>
    <v>ETF</v>
    <v>46223.982032233595</v>
    <v>446</v>
    <v>48.534999999999997</v>
    <v>6871878827.5699997</v>
    <v>iShares:MSCI India</v>
    <v>48.94</v>
    <v>48.91</v>
    <v>48.55</v>
    <v>48.71</v>
    <v>INDA</v>
    <v>iShares:MSCI India (BATS:INDA)</v>
    <v>5492119</v>
    <v>6131543</v>
  </rv>
  <rv s="2">
    <v>447</v>
  </rv>
  <rv s="0">
    <v>https://www.bing.com/financeapi/forcetrigger?t=a1seu2&amp;q=ARCX%3aEWA&amp;form=skydnc</v>
    <v>Learn more on Bing</v>
  </rv>
  <rv s="11">
    <v>en-US</v>
    <v>a1seu2</v>
    <v>268435456</v>
    <v>1</v>
    <v>Powered by Refinitiv</v>
    <v>23</v>
    <v>iShares:MSCI Australia (ARCX:EWA)</v>
    <v>2</v>
    <v>24</v>
    <v>Finance</v>
    <v>25</v>
    <v>30.479900000000001</v>
    <v>24.94</v>
    <v>0.88639999999999997</v>
    <v>-0.23</v>
    <v>-8.0000000000000002E-3</v>
    <v>USD</v>
    <v>NYSE Arca</v>
    <v>ARCX</v>
    <v>5.0000000000000001E-3</v>
    <v>28.734999999999999</v>
    <v>ETF</v>
    <v>46224.995415346872</v>
    <v>449</v>
    <v>28.475000000000001</v>
    <v>1454092380.4200001</v>
    <v>iShares:MSCI Australia</v>
    <v>28.7</v>
    <v>28.75</v>
    <v>28.52</v>
    <v>EWA</v>
    <v>iShares:MSCI Australia (ARCX:EWA)</v>
    <v>2262370</v>
    <v>2323331</v>
  </rv>
  <rv s="2">
    <v>450</v>
  </rv>
  <rv s="0">
    <v>https://www.bing.com/financeapi/forcetrigger?t=a25acw&amp;q=ARCX%3aVEU&amp;form=skydnc</v>
    <v>Learn more on Bing</v>
  </rv>
  <rv s="1">
    <v>en-US</v>
    <v>a25acw</v>
    <v>268435456</v>
    <v>1</v>
    <v>Powered by Refinitiv</v>
    <v>0</v>
    <v>Vanguard FTSE xUS;ETF (ARCX:VEU)</v>
    <v>2</v>
    <v>3</v>
    <v>Finance</v>
    <v>4</v>
    <v>85.74</v>
    <v>65.98</v>
    <v>0.93669999999999998</v>
    <v>-0.32</v>
    <v>1.8459999999999998E-3</v>
    <v>-3.9229999999999994E-3</v>
    <v>0.15</v>
    <v>USD</v>
    <v>NYSE Arca</v>
    <v>ARCX</v>
    <v>4.0000000000000002E-4</v>
    <v>81.999899999999997</v>
    <v>ETF</v>
    <v>46224.000001666405</v>
    <v>452</v>
    <v>81.17</v>
    <v>67321304951</v>
    <v>Vanguard FTSE xUS;ETF</v>
    <v>81.91</v>
    <v>81.569999999999993</v>
    <v>81.25</v>
    <v>81.400000000000006</v>
    <v>VEU</v>
    <v>Vanguard FTSE xUS;ETF (ARCX:VEU)</v>
    <v>3950764</v>
    <v>2707225</v>
  </rv>
  <rv s="2">
    <v>453</v>
  </rv>
  <rv s="0">
    <v>https://www.bing.com/financeapi/forcetrigger?t=a24qhw&amp;q=XNAS%3aUAE&amp;form=skydnc</v>
    <v>Learn more on Bing</v>
  </rv>
  <rv s="1">
    <v>en-US</v>
    <v>a24qhw</v>
    <v>268435456</v>
    <v>1</v>
    <v>Powered by Refinitiv</v>
    <v>0</v>
    <v>iShares:MSCI UAE (XNAS:UAE)</v>
    <v>2</v>
    <v>3</v>
    <v>Finance</v>
    <v>4</v>
    <v>22.29</v>
    <v>17.29</v>
    <v>0.60919999999999996</v>
    <v>-0.06</v>
    <v>-4.2620000000000002E-3</v>
    <v>-3.186E-3</v>
    <v>-0.08</v>
    <v>USD</v>
    <v>Nasdaq Stock Market</v>
    <v>XNAS</v>
    <v>5.8999999999999999E-3</v>
    <v>18.91</v>
    <v>ETF</v>
    <v>46223.98204805547</v>
    <v>455</v>
    <v>18.690000000000001</v>
    <v>309078295.07999998</v>
    <v>iShares:MSCI UAE</v>
    <v>18.73</v>
    <v>18.829999999999998</v>
    <v>18.77</v>
    <v>18.690000000000001</v>
    <v>UAE</v>
    <v>iShares:MSCI UAE (XNAS:UAE)</v>
    <v>233107</v>
    <v>322587</v>
  </rv>
  <rv s="2">
    <v>456</v>
  </rv>
  <rv s="0">
    <v>https://www.bing.com/financeapi/forcetrigger?t=a24mz2&amp;q=XNAS%3aTUR&amp;form=skydnc</v>
    <v>Learn more on Bing</v>
  </rv>
  <rv s="1">
    <v>en-US</v>
    <v>a24mz2</v>
    <v>268435456</v>
    <v>1</v>
    <v>Powered by Refinitiv</v>
    <v>0</v>
    <v>iShares:MSCI Turkey (XNAS:TUR)</v>
    <v>2</v>
    <v>3</v>
    <v>Finance</v>
    <v>4</v>
    <v>43.98</v>
    <v>31.72</v>
    <v>0.77969999999999995</v>
    <v>0.49</v>
    <v>0</v>
    <v>1.2586999999999999E-2</v>
    <v>0</v>
    <v>USD</v>
    <v>Nasdaq Stock Market</v>
    <v>XNAS</v>
    <v>5.8999999999999999E-3</v>
    <v>39.630000000000003</v>
    <v>ETF</v>
    <v>46223.982049189064</v>
    <v>458</v>
    <v>39.4</v>
    <v>197808034.96000001</v>
    <v>iShares:MSCI Turkey</v>
    <v>39.56</v>
    <v>38.93</v>
    <v>39.42</v>
    <v>39.42</v>
    <v>TUR</v>
    <v>iShares:MSCI Turkey (XNAS:TUR)</v>
    <v>49231</v>
    <v>138017</v>
  </rv>
  <rv s="2">
    <v>459</v>
  </rv>
  <rv s="0">
    <v>https://www.bing.com/financeapi/forcetrigger?t=a1wnz2&amp;q=ARCX%3aKSA&amp;form=skydnc</v>
    <v>Learn more on Bing</v>
  </rv>
  <rv s="1">
    <v>en-US</v>
    <v>a1wnz2</v>
    <v>268435456</v>
    <v>1</v>
    <v>Powered by Refinitiv</v>
    <v>0</v>
    <v>iShares:MSCI S Arabia (ARCX:KSA)</v>
    <v>2</v>
    <v>3</v>
    <v>Finance</v>
    <v>4</v>
    <v>41.5</v>
    <v>35.81</v>
    <v>0.27210000000000001</v>
    <v>0.06</v>
    <v>0</v>
    <v>1.6309999999999999E-3</v>
    <v>0</v>
    <v>USD</v>
    <v>NYSE Arca</v>
    <v>ARCX</v>
    <v>7.4999999999999997E-3</v>
    <v>36.96</v>
    <v>ETF</v>
    <v>46224.000001562497</v>
    <v>461</v>
    <v>36.700000000000003</v>
    <v>649784367.02999997</v>
    <v>iShares:MSCI S Arabia</v>
    <v>36.700000000000003</v>
    <v>36.79</v>
    <v>36.85</v>
    <v>36.85</v>
    <v>KSA</v>
    <v>iShares:MSCI S Arabia (ARCX:KSA)</v>
    <v>325459</v>
    <v>495848</v>
  </rv>
  <rv s="2">
    <v>462</v>
  </rv>
  <rv s="0">
    <v>https://www.bing.com/financeapi/forcetrigger?t=a1sg8m&amp;q=ARCX%3aEWQ&amp;form=skydnc</v>
    <v>Learn more on Bing</v>
  </rv>
  <rv s="1">
    <v>en-US</v>
    <v>a1sg8m</v>
    <v>268435456</v>
    <v>1</v>
    <v>Powered by Refinitiv</v>
    <v>0</v>
    <v>iShares:MSCI France (ARCX:EWQ)</v>
    <v>2</v>
    <v>3</v>
    <v>Finance</v>
    <v>4</v>
    <v>48.39</v>
    <v>41.08</v>
    <v>0.97199999999999998</v>
    <v>-0.4</v>
    <v>0</v>
    <v>-8.8610000000000008E-3</v>
    <v>0</v>
    <v>USD</v>
    <v>NYSE Arca</v>
    <v>ARCX</v>
    <v>5.0000000000000001E-3</v>
    <v>45.13</v>
    <v>ETF</v>
    <v>46223.982016064059</v>
    <v>464</v>
    <v>44.685000000000002</v>
    <v>381436906.39999998</v>
    <v>iShares:MSCI France</v>
    <v>45.13</v>
    <v>45.14</v>
    <v>44.74</v>
    <v>44.74</v>
    <v>EWQ</v>
    <v>iShares:MSCI France (ARCX:EWQ)</v>
    <v>166578</v>
    <v>324656</v>
  </rv>
  <rv s="2">
    <v>465</v>
  </rv>
  <rv s="0">
    <v>https://www.bing.com/financeapi/forcetrigger?t=a1ss8m&amp;q=ARCX%3aSPEU&amp;form=skydnc</v>
    <v>Learn more on Bing</v>
  </rv>
  <rv s="1">
    <v>en-US</v>
    <v>a1ss8m</v>
    <v>268435456</v>
    <v>1</v>
    <v>Powered by Refinitiv</v>
    <v>0</v>
    <v>SS SPDR P Eu (ARCX:SPEU)</v>
    <v>2</v>
    <v>3</v>
    <v>Finance</v>
    <v>4</v>
    <v>56.454999999999998</v>
    <v>46.76</v>
    <v>1.0153000000000001</v>
    <v>-0.54700000000000004</v>
    <v>1.14E-3</v>
    <v>-9.9600000000000001E-3</v>
    <v>6.2E-2</v>
    <v>USD</v>
    <v>NYSE Arca</v>
    <v>ARCX</v>
    <v>7.000000000000001E-4</v>
    <v>54.85</v>
    <v>ETF</v>
    <v>46224.000000948436</v>
    <v>467</v>
    <v>54.33</v>
    <v>713144971.94000006</v>
    <v>SS SPDR P Eu</v>
    <v>54.85</v>
    <v>54.92</v>
    <v>54.372999999999998</v>
    <v>54.435000000000002</v>
    <v>SPEU</v>
    <v>SS SPDR P Eu (ARCX:SPEU)</v>
    <v>15197</v>
    <v>27728</v>
  </rv>
  <rv s="2">
    <v>468</v>
  </rv>
  <rv s="0">
    <v>https://www.bing.com/financeapi/forcetrigger?t=a1sgmw&amp;q=ARCX%3aEWU&amp;form=skydnc</v>
    <v>Learn more on Bing</v>
  </rv>
  <rv s="1">
    <v>en-US</v>
    <v>a1sgmw</v>
    <v>268435456</v>
    <v>1</v>
    <v>Powered by Refinitiv</v>
    <v>0</v>
    <v>iShares:MSCI UK (ARCX:EWU)</v>
    <v>2</v>
    <v>3</v>
    <v>Finance</v>
    <v>4</v>
    <v>48.919899999999998</v>
    <v>39.604999999999997</v>
    <v>0.85070000000000001</v>
    <v>-0.55000000000000004</v>
    <v>2.3709999999999998E-3</v>
    <v>-1.1717E-2</v>
    <v>0.11</v>
    <v>USD</v>
    <v>NYSE Arca</v>
    <v>ARCX</v>
    <v>5.0000000000000001E-3</v>
    <v>46.965000000000003</v>
    <v>ETF</v>
    <v>46224.000001330467</v>
    <v>470</v>
    <v>46.34</v>
    <v>3667788908.4099998</v>
    <v>iShares:MSCI UK</v>
    <v>46.84</v>
    <v>46.94</v>
    <v>46.39</v>
    <v>46.5</v>
    <v>EWU</v>
    <v>iShares:MSCI UK (ARCX:EWU)</v>
    <v>628368</v>
    <v>1452905</v>
  </rv>
  <rv s="2">
    <v>471</v>
  </rv>
  <rv s="0">
    <v>https://www.bing.com/financeapi/forcetrigger?t=a1sfqh&amp;q=ARCX%3aEWL&amp;form=skydnc</v>
    <v>Learn more on Bing</v>
  </rv>
  <rv s="1">
    <v>en-US</v>
    <v>a1sfqh</v>
    <v>268435456</v>
    <v>1</v>
    <v>Powered by Refinitiv</v>
    <v>0</v>
    <v>iShares:MSCI Switzerland (ARCX:EWL)</v>
    <v>2</v>
    <v>3</v>
    <v>Finance</v>
    <v>4</v>
    <v>65.525000000000006</v>
    <v>51.83</v>
    <v>1.0258</v>
    <v>-0.85</v>
    <v>0</v>
    <v>-1.3453999999999999E-2</v>
    <v>0</v>
    <v>USD</v>
    <v>NYSE Arca</v>
    <v>ARCX</v>
    <v>5.0000000000000001E-3</v>
    <v>62.94</v>
    <v>ETF</v>
    <v>46224.000001099215</v>
    <v>473</v>
    <v>62.29</v>
    <v>1970205634.47</v>
    <v>iShares:MSCI Switzerland</v>
    <v>62.94</v>
    <v>63.18</v>
    <v>62.33</v>
    <v>62.33</v>
    <v>EWL</v>
    <v>iShares:MSCI Switzerland (ARCX:EWL)</v>
    <v>1021932</v>
    <v>408312</v>
  </rv>
  <rv s="2">
    <v>474</v>
  </rv>
  <rv s="0">
    <v>https://www.bing.com/financeapi/forcetrigger?t=a1sfhw&amp;q=ARCX%3aEWI&amp;form=skydnc</v>
    <v>Learn more on Bing</v>
  </rv>
  <rv s="1">
    <v>en-US</v>
    <v>a1sfhw</v>
    <v>268435456</v>
    <v>1</v>
    <v>Powered by Refinitiv</v>
    <v>0</v>
    <v>iShares:MSCI Italy (ARCX:EWI)</v>
    <v>2</v>
    <v>3</v>
    <v>Finance</v>
    <v>4</v>
    <v>61.2</v>
    <v>47.52</v>
    <v>0.98680000000000001</v>
    <v>-0.32</v>
    <v>0</v>
    <v>-5.3100000000000005E-3</v>
    <v>0</v>
    <v>USD</v>
    <v>NYSE Arca</v>
    <v>ARCX</v>
    <v>5.0000000000000001E-3</v>
    <v>60.23</v>
    <v>ETF</v>
    <v>46224.000001608591</v>
    <v>476</v>
    <v>59.822099999999999</v>
    <v>795776995.87</v>
    <v>iShares:MSCI Italy</v>
    <v>60.18</v>
    <v>60.26</v>
    <v>59.94</v>
    <v>59.94</v>
    <v>EWI</v>
    <v>iShares:MSCI Italy (ARCX:EWI)</v>
    <v>81039</v>
    <v>476038</v>
  </rv>
  <rv s="2">
    <v>477</v>
  </rv>
  <rv s="0">
    <v>https://www.bing.com/financeapi/forcetrigger?t=a1rtzr&amp;q=ARCX%3aEIS&amp;form=skydnc</v>
    <v>Learn more on Bing</v>
  </rv>
  <rv s="1">
    <v>en-US</v>
    <v>a1rtzr</v>
    <v>268435456</v>
    <v>1</v>
    <v>Powered by Refinitiv</v>
    <v>0</v>
    <v>iShares:MSCI Israel (ARCX:EIS)</v>
    <v>2</v>
    <v>3</v>
    <v>Finance</v>
    <v>4</v>
    <v>138.85</v>
    <v>87</v>
    <v>1.3635999999999999</v>
    <v>-1.33</v>
    <v>-3.3720000000000001E-4</v>
    <v>-1.1089E-2</v>
    <v>-0.04</v>
    <v>USD</v>
    <v>NYSE Arca</v>
    <v>ARCX</v>
    <v>5.8999999999999999E-3</v>
    <v>120.46</v>
    <v>ETF</v>
    <v>46224.000001457811</v>
    <v>479</v>
    <v>118.61</v>
    <v>897998890.65999997</v>
    <v>iShares:MSCI Israel</v>
    <v>120.46</v>
    <v>119.94</v>
    <v>118.61</v>
    <v>118.57</v>
    <v>EIS</v>
    <v>iShares:MSCI Israel (ARCX:EIS)</v>
    <v>74588</v>
    <v>83737</v>
  </rv>
  <rv s="2">
    <v>480</v>
  </rv>
  <rv s="0">
    <v>https://www.bing.com/financeapi/forcetrigger?t=a1sg5r&amp;q=ARCX%3aEWP&amp;form=skydnc</v>
    <v>Learn more on Bing</v>
  </rv>
  <rv s="1">
    <v>en-US</v>
    <v>a1sg5r</v>
    <v>268435456</v>
    <v>1</v>
    <v>Powered by Refinitiv</v>
    <v>0</v>
    <v>iShares:MSCI Spain (ARCX:EWP)</v>
    <v>2</v>
    <v>3</v>
    <v>Finance</v>
    <v>4</v>
    <v>60.49</v>
    <v>44.01</v>
    <v>1.1109</v>
    <v>-0.49</v>
    <v>-4.091E-3</v>
    <v>-8.2830000000000004E-3</v>
    <v>-0.24</v>
    <v>USD</v>
    <v>NYSE Arca</v>
    <v>ARCX</v>
    <v>5.0000000000000001E-3</v>
    <v>59.08</v>
    <v>ETF</v>
    <v>46224.000001654691</v>
    <v>482</v>
    <v>58.59</v>
    <v>1886948031.27</v>
    <v>iShares:MSCI Spain</v>
    <v>59.01</v>
    <v>59.16</v>
    <v>58.67</v>
    <v>58.43</v>
    <v>EWP</v>
    <v>iShares:MSCI Spain (ARCX:EWP)</v>
    <v>94927</v>
    <v>351516</v>
  </rv>
  <rv s="2">
    <v>483</v>
  </rv>
  <rv s="0">
    <v>https://www.bing.com/financeapi/forcetrigger?t=aay98m&amp;q=XTSE%3aFM&amp;form=skydnc</v>
    <v>Learn more on Bing</v>
  </rv>
  <rv s="7">
    <v>en-US</v>
    <v>aay98m</v>
    <v>268435456</v>
    <v>1</v>
    <v>Powered by Refinitiv</v>
    <v>14</v>
    <v>FIRST QUANTUM MINERALS LTD. (XTSE:FM)</v>
    <v>15</v>
    <v>26</v>
    <v>Finance</v>
    <v>27</v>
    <v>46.36</v>
    <v>22.16</v>
    <v>1.992</v>
    <v>0.8</v>
    <v>0</v>
    <v>2.1745E-2</v>
    <v>0</v>
    <v>CAD</v>
    <v>First Quantum Minerals Ltd. is a mining company. The Company is engaged in the production of copper, nickel and gold, and related activities including exploration and development. It has operating mines located in Zambia, Turkiye and Mauritania. Its projects include Kansanshi, Cobre Panama, Sentinel, Enterprise, Las Cruces, Guelb Moghrein, Cayeli, Ravensthorpe, and others. Its development projects include Haquira, Taca Taca, and La Granja. Taca Taca, located in the Salta province of Argentina, consists of an open-pit copper mine and ore processing plant that produces up to 275 kilotons(kt) of copper per year along with gold and molybdenum by-products. La Granja is in the district of Querocoto in the northern region of Cajamarca, Peru, approximately 90 kilometers northeast of Chiclayo. Haquira is in the Apurimac region of Peru is a longer-dated greenfield project.</v>
    <v>15661</v>
    <v>Toronto Stock Exchange</v>
    <v>XTSE</v>
    <v>XTSE</v>
    <v>1133 Melville Street, Suite 3500, The Stack, VANCOUVER, BC, V6E 4E5 CA</v>
    <v>37.86</v>
    <v>Metals &amp; Mining</v>
    <v>Stock</v>
    <v>46223.833333333336</v>
    <v>485</v>
    <v>36.93</v>
    <v>31357807299</v>
    <v>FIRST QUANTUM MINERALS LTD.</v>
    <v>FIRST QUANTUM MINERALS LTD.</v>
    <v>37</v>
    <v>0</v>
    <v>36.79</v>
    <v>37.590000000000003</v>
    <v>37.590000000000003</v>
    <v>834206100</v>
    <v>FM</v>
    <v>FIRST QUANTUM MINERALS LTD. (XTSE:FM)</v>
    <v>3183755</v>
    <v>2568420</v>
    <v>2014</v>
  </rv>
  <rv s="2">
    <v>486</v>
  </rv>
  <rv s="0">
    <v>https://www.bing.com/financeapi/forcetrigger?t=a1sh52&amp;q=ARCX%3aEWZ&amp;form=skydnc</v>
    <v>Learn more on Bing</v>
  </rv>
  <rv s="1">
    <v>en-US</v>
    <v>a1sh52</v>
    <v>268435456</v>
    <v>1</v>
    <v>Powered by Refinitiv</v>
    <v>0</v>
    <v>iShares:MSCI Brazil (ARCX:EWZ)</v>
    <v>2</v>
    <v>3</v>
    <v>Finance</v>
    <v>4</v>
    <v>42.02</v>
    <v>26.3</v>
    <v>1.111</v>
    <v>0.25</v>
    <v>-1.127E-3</v>
    <v>7.0959999999999999E-3</v>
    <v>-0.04</v>
    <v>USD</v>
    <v>NYSE Arca</v>
    <v>ARCX</v>
    <v>5.8999999999999999E-3</v>
    <v>35.659999999999997</v>
    <v>ETF</v>
    <v>46223.996128657032</v>
    <v>488</v>
    <v>35.299999999999997</v>
    <v>9067350050.7299995</v>
    <v>iShares:MSCI Brazil</v>
    <v>35.4</v>
    <v>35.229999999999997</v>
    <v>35.479999999999997</v>
    <v>35.44</v>
    <v>EWZ</v>
    <v>iShares:MSCI Brazil (ARCX:EWZ)</v>
    <v>14152739</v>
    <v>20175939</v>
  </rv>
  <rv s="2">
    <v>489</v>
  </rv>
  <rv s="0">
    <v>https://www.bing.com/financeapi/forcetrigger?t=a1sgec&amp;q=ARCX%3aEWS&amp;form=skydnc</v>
    <v>Learn more on Bing</v>
  </rv>
  <rv s="1">
    <v>en-US</v>
    <v>a1sgec</v>
    <v>268435456</v>
    <v>1</v>
    <v>Powered by Refinitiv</v>
    <v>0</v>
    <v>iShares:MSCI Singapore (ARCX:EWS)</v>
    <v>2</v>
    <v>3</v>
    <v>Finance</v>
    <v>4</v>
    <v>32.17</v>
    <v>26.335000000000001</v>
    <v>0.50890000000000002</v>
    <v>-0.12</v>
    <v>0</v>
    <v>-3.8119999999999999E-3</v>
    <v>0</v>
    <v>USD</v>
    <v>NYSE Arca</v>
    <v>ARCX</v>
    <v>5.0000000000000001E-3</v>
    <v>31.46</v>
    <v>ETF</v>
    <v>46224.000001099215</v>
    <v>491</v>
    <v>31.324999999999999</v>
    <v>921551884.32000005</v>
    <v>iShares:MSCI Singapore</v>
    <v>31.39</v>
    <v>31.48</v>
    <v>31.36</v>
    <v>31.36</v>
    <v>EWS</v>
    <v>iShares:MSCI Singapore (ARCX:EWS)</v>
    <v>1094459</v>
    <v>785640</v>
  </rv>
  <rv s="2">
    <v>492</v>
  </rv>
  <rv s="0">
    <v>https://www.bing.com/financeapi/forcetrigger?t=a1sf9c&amp;q=ARCX%3aEWG&amp;form=skydnc</v>
    <v>Learn more on Bing</v>
  </rv>
  <rv s="1">
    <v>en-US</v>
    <v>a1sf9c</v>
    <v>268435456</v>
    <v>1</v>
    <v>Powered by Refinitiv</v>
    <v>0</v>
    <v>iShares:MSCI Germany (ARCX:EWG)</v>
    <v>2</v>
    <v>3</v>
    <v>Finance</v>
    <v>4</v>
    <v>44.65</v>
    <v>37.975000000000001</v>
    <v>1.0773999999999999</v>
    <v>-0.28999999999999998</v>
    <v>4.8939999999999997E-4</v>
    <v>-7.0460000000000002E-3</v>
    <v>0.02</v>
    <v>USD</v>
    <v>NYSE Arca</v>
    <v>ARCX</v>
    <v>4.8999999999999998E-3</v>
    <v>41.15</v>
    <v>ETF</v>
    <v>46224.000001110937</v>
    <v>494</v>
    <v>40.869999999999997</v>
    <v>1577958133.1500001</v>
    <v>iShares:MSCI Germany</v>
    <v>41.06</v>
    <v>41.16</v>
    <v>40.869999999999997</v>
    <v>40.89</v>
    <v>EWG</v>
    <v>iShares:MSCI Germany (ARCX:EWG)</v>
    <v>1248169</v>
    <v>1066871</v>
  </rv>
  <rv s="2">
    <v>495</v>
  </rv>
  <rv s="0">
    <v>https://www.bing.com/financeapi/forcetrigger?t=a25g2w&amp;q=BATS%3aVNM&amp;form=skydnc</v>
    <v>Learn more on Bing</v>
  </rv>
  <rv s="1">
    <v>en-US</v>
    <v>a25g2w</v>
    <v>268435456</v>
    <v>1</v>
    <v>Powered by Refinitiv</v>
    <v>0</v>
    <v>VanEck:Vietnam (BATS:VNM)</v>
    <v>2</v>
    <v>3</v>
    <v>Finance</v>
    <v>11</v>
    <v>19.850000000000001</v>
    <v>15.35</v>
    <v>1.7222</v>
    <v>-0.45</v>
    <v>0</v>
    <v>-2.5952000000000003E-2</v>
    <v>0</v>
    <v>USD</v>
    <v>CBOE BZX Exchange</v>
    <v>BATS</v>
    <v>5.8999999999999999E-3</v>
    <v>17.015000000000001</v>
    <v>ETF</v>
    <v>46223.982041006253</v>
    <v>497</v>
    <v>16.82</v>
    <v>564503860</v>
    <v>VanEck:Vietnam</v>
    <v>16.940000000000001</v>
    <v>17.34</v>
    <v>16.89</v>
    <v>16.84</v>
    <v>VNM</v>
    <v>VanEck:Vietnam (BATS:VNM)</v>
    <v>820458</v>
    <v>590659</v>
  </rv>
  <rv s="2">
    <v>498</v>
  </rv>
  <rv s="0">
    <v>https://www.bing.com/financeapi/forcetrigger?t=a1tjim&amp;q=ARCX%3aFXA&amp;form=skydnc</v>
    <v>Learn more on Bing</v>
  </rv>
  <rv s="1">
    <v>en-US</v>
    <v>a1tjim</v>
    <v>268435456</v>
    <v>1</v>
    <v>Powered by Refinitiv</v>
    <v>0</v>
    <v>Invesco:AU Dollar (ARCX:FXA)</v>
    <v>2</v>
    <v>3</v>
    <v>Finance</v>
    <v>4</v>
    <v>72.02</v>
    <v>63.545699999999997</v>
    <v>0.79620000000000002</v>
    <v>0.16669999999999999</v>
    <v>1.6150000000000002E-4</v>
    <v>2.4099999999999998E-3</v>
    <v>1.12E-2</v>
    <v>USD</v>
    <v>NYSE Arca</v>
    <v>ARCX</v>
    <v>4.0000000000000001E-3</v>
    <v>69.459999999999994</v>
    <v>ETF</v>
    <v>46224.000001689063</v>
    <v>500</v>
    <v>69.3</v>
    <v>99558256.170000002</v>
    <v>Invesco:AU Dollar</v>
    <v>69.41</v>
    <v>69.1721</v>
    <v>69.338800000000006</v>
    <v>69.349999999999994</v>
    <v>FXA</v>
    <v>Invesco:AU Dollar (ARCX:FXA)</v>
    <v>9700</v>
    <v>12842</v>
  </rv>
  <rv s="2">
    <v>501</v>
  </rv>
  <rv s="0">
    <v>https://www.bing.com/financeapi/forcetrigger?t=a1tl8m&amp;q=ARCX%3aFXY&amp;form=skydnc</v>
    <v>Learn more on Bing</v>
  </rv>
  <rv s="1">
    <v>en-US</v>
    <v>a1tl8m</v>
    <v>268435456</v>
    <v>1</v>
    <v>Powered by Refinitiv</v>
    <v>0</v>
    <v>Invesco:Japanese Yen (ARCX:FXY)</v>
    <v>2</v>
    <v>3</v>
    <v>Finance</v>
    <v>4</v>
    <v>63.260300000000001</v>
    <v>56.384999999999998</v>
    <v>1.2802</v>
    <v>-0.05</v>
    <v>-1.771E-4</v>
    <v>-8.8480000000000004E-4</v>
    <v>-0.01</v>
    <v>USD</v>
    <v>NYSE Arca</v>
    <v>ARCX</v>
    <v>4.0000000000000001E-3</v>
    <v>56.486400000000003</v>
    <v>ETF</v>
    <v>46224.000001631248</v>
    <v>503</v>
    <v>56.41</v>
    <v>429122793.11000001</v>
    <v>Invesco:Japanese Yen</v>
    <v>56.47</v>
    <v>56.51</v>
    <v>56.46</v>
    <v>56.45</v>
    <v>FXY</v>
    <v>Invesco:Japanese Yen (ARCX:FXY)</v>
    <v>166343</v>
    <v>171629</v>
  </rv>
  <rv s="2">
    <v>504</v>
  </rv>
  <rv s="0">
    <v>https://www.bing.com/financeapi/forcetrigger?t=a1tjlh&amp;q=ARCX%3aFXB&amp;form=skydnc</v>
    <v>Learn more on Bing</v>
  </rv>
  <rv s="1">
    <v>en-US</v>
    <v>a1tjlh</v>
    <v>268435456</v>
    <v>1</v>
    <v>Powered by Refinitiv</v>
    <v>0</v>
    <v>Invesco:GBP Sterling (ARCX:FXB)</v>
    <v>2</v>
    <v>3</v>
    <v>Finance</v>
    <v>4</v>
    <v>133.11000000000001</v>
    <v>125.02</v>
    <v>0.60819999999999996</v>
    <v>-0.21199999999999999</v>
    <v>-2.9409999999999999E-4</v>
    <v>-1.6379999999999999E-3</v>
    <v>-3.7999999999999999E-2</v>
    <v>USD</v>
    <v>NYSE Arca</v>
    <v>ARCX</v>
    <v>4.0000000000000001E-3</v>
    <v>129.41</v>
    <v>ETF</v>
    <v>46224.000001631248</v>
    <v>506</v>
    <v>129.08000000000001</v>
    <v>76628626.310000002</v>
    <v>Invesco:GBP Sterling</v>
    <v>129.41</v>
    <v>129.41</v>
    <v>129.19800000000001</v>
    <v>129.16</v>
    <v>FXB</v>
    <v>Invesco:GBP Sterling (ARCX:FXB)</v>
    <v>12093</v>
    <v>31289</v>
  </rv>
  <rv s="2">
    <v>507</v>
  </rv>
  <rv s="0">
    <v>https://www.bing.com/financeapi/forcetrigger?t=a1tjww&amp;q=ARCX%3aFXE&amp;form=skydnc</v>
    <v>Learn more on Bing</v>
  </rv>
  <rv s="1">
    <v>en-US</v>
    <v>a1tjww</v>
    <v>268435456</v>
    <v>1</v>
    <v>Powered by Refinitiv</v>
    <v>0</v>
    <v>Invesco:Euro (ARCX:FXE)</v>
    <v>2</v>
    <v>3</v>
    <v>Finance</v>
    <v>4</v>
    <v>111.535</v>
    <v>104.6</v>
    <v>0.60850000000000004</v>
    <v>-0.24</v>
    <v>0</v>
    <v>-2.2729999999999998E-3</v>
    <v>0</v>
    <v>USD</v>
    <v>NYSE Arca</v>
    <v>ARCX</v>
    <v>4.0000000000000001E-3</v>
    <v>105.4</v>
    <v>ETF</v>
    <v>46224.000001666405</v>
    <v>509</v>
    <v>105.26</v>
    <v>374719232.33999997</v>
    <v>Invesco:Euro</v>
    <v>105.4</v>
    <v>105.61</v>
    <v>105.37</v>
    <v>105.37</v>
    <v>FXE</v>
    <v>Invesco:Euro (ARCX:FXE)</v>
    <v>65971</v>
    <v>89419</v>
  </rv>
  <rv s="2">
    <v>510</v>
  </rv>
  <rv s="0">
    <v>https://www.bing.com/financeapi/forcetrigger?t=a1tk6h&amp;q=ARCX%3aFXF&amp;form=skydnc</v>
    <v>Learn more on Bing</v>
  </rv>
  <rv s="1">
    <v>en-US</v>
    <v>a1tk6h</v>
    <v>268435456</v>
    <v>1</v>
    <v>Powered by Refinitiv</v>
    <v>0</v>
    <v>Invesco:Swiss Franc (ARCX:FXF)</v>
    <v>2</v>
    <v>3</v>
    <v>Finance</v>
    <v>4</v>
    <v>116.29989999999999</v>
    <v>108.17</v>
    <v>0.83850000000000002</v>
    <v>-0.38900000000000001</v>
    <v>-1.0109999999999999E-4</v>
    <v>-3.5630000000000002E-3</v>
    <v>-1.0999999999999999E-2</v>
    <v>USD</v>
    <v>NYSE Arca</v>
    <v>ARCX</v>
    <v>4.8999999999999998E-3</v>
    <v>108.91</v>
    <v>ETF</v>
    <v>46224.000001596876</v>
    <v>512</v>
    <v>108.7101</v>
    <v>431861169.06</v>
    <v>Invesco:Swiss Franc</v>
    <v>108.91</v>
    <v>109.19</v>
    <v>108.801</v>
    <v>108.79</v>
    <v>FXF</v>
    <v>Invesco:Swiss Franc (ARCX:FXF)</v>
    <v>11607</v>
    <v>50583</v>
  </rv>
  <rv s="2">
    <v>513</v>
  </rv>
  <rv s="0">
    <v>https://www.bing.com/financeapi/forcetrigger?t=a1tjoc&amp;q=ARCX%3aFXC&amp;form=skydnc</v>
    <v>Learn more on Bing</v>
  </rv>
  <rv s="1">
    <v>en-US</v>
    <v>a1tjoc</v>
    <v>268435456</v>
    <v>1</v>
    <v>Powered by Refinitiv</v>
    <v>0</v>
    <v>Invesco:Canadian Dollar (ARCX:FXC)</v>
    <v>2</v>
    <v>3</v>
    <v>Finance</v>
    <v>4</v>
    <v>72.468999999999994</v>
    <v>68.64</v>
    <v>0.48060000000000003</v>
    <v>-0.27</v>
    <v>0</v>
    <v>-3.869E-3</v>
    <v>0</v>
    <v>USD</v>
    <v>NYSE Arca</v>
    <v>ARCX</v>
    <v>4.0000000000000001E-3</v>
    <v>69.63</v>
    <v>ETF</v>
    <v>46224.000001666405</v>
    <v>515</v>
    <v>69.504999999999995</v>
    <v>75782403.769999996</v>
    <v>Invesco:Canadian Dollar</v>
    <v>69.63</v>
    <v>69.790000000000006</v>
    <v>69.52</v>
    <v>69.52</v>
    <v>FXC</v>
    <v>Invesco:Canadian Dollar (ARCX:FXC)</v>
    <v>24655</v>
    <v>31965</v>
  </rv>
  <rv s="2">
    <v>516</v>
  </rv>
  <rv s="0">
    <v>https://www.bing.com/financeapi/forcetrigger?t=a1pi52&amp;q=ARCX%3aCEW&amp;form=skydnc</v>
    <v>Learn more on Bing</v>
  </rv>
  <rv s="1">
    <v>en-US</v>
    <v>a1pi52</v>
    <v>268435456</v>
    <v>1</v>
    <v>Powered by Refinitiv</v>
    <v>0</v>
    <v>WisdomTree:Em Curr Str (ARCX:CEW)</v>
    <v>2</v>
    <v>3</v>
    <v>Finance</v>
    <v>4</v>
    <v>20.555</v>
    <v>17.8</v>
    <v>0.54339999999999999</v>
    <v>-5.0000000000000001E-3</v>
    <v>0</v>
    <v>-2.5829999999999999E-4</v>
    <v>0</v>
    <v>USD</v>
    <v>NYSE Arca</v>
    <v>ARCX</v>
    <v>5.5000000000000005E-3</v>
    <v>19.36</v>
    <v>ETF</v>
    <v>46224.000001353903</v>
    <v>518</v>
    <v>17.899999999999999</v>
    <v>15479888.220000001</v>
    <v>WisdomTree:Em Curr Str</v>
    <v>18.440000000000001</v>
    <v>19.36</v>
    <v>19.355</v>
    <v>19.355</v>
    <v>CEW</v>
    <v>WisdomTree:Em Curr Str (ARCX:CEW)</v>
    <v>1685</v>
    <v>1895</v>
  </rv>
  <rv s="2">
    <v>519</v>
  </rv>
  <rv s="0">
    <v>https://www.bing.com/financeapi/forcetrigger?t=a2557w&amp;q=ARCX%3aUUP&amp;form=skydnc</v>
    <v>Learn more on Bing</v>
  </rv>
  <rv s="1">
    <v>en-US</v>
    <v>a2557w</v>
    <v>268435456</v>
    <v>1</v>
    <v>Powered by Refinitiv</v>
    <v>0</v>
    <v>Invesco DB USD Idx Bl (ARCX:UUP)</v>
    <v>2</v>
    <v>3</v>
    <v>Finance</v>
    <v>4</v>
    <v>28.559899999999999</v>
    <v>26.395</v>
    <v>-0.63780000000000003</v>
    <v>0.06</v>
    <v>3.522E-4</v>
    <v>2.1180000000000001E-3</v>
    <v>0.01</v>
    <v>USD</v>
    <v>NYSE Arca</v>
    <v>ARCX</v>
    <v>6.9999999999999993E-3</v>
    <v>28.43</v>
    <v>ETF</v>
    <v>46223.982021596872</v>
    <v>521</v>
    <v>28.38</v>
    <v>447487965.74000001</v>
    <v>Invesco DB USD Idx Bl</v>
    <v>28.38</v>
    <v>28.33</v>
    <v>28.39</v>
    <v>28.4</v>
    <v>UUP</v>
    <v>Invesco DB USD Idx Bl (ARCX:UUP)</v>
    <v>1898101</v>
    <v>2048597</v>
  </rv>
  <rv s="2">
    <v>522</v>
  </rv>
  <rv s="0">
    <v>https://www.bing.com/financeapi/forcetrigger?t=bwhr5r&amp;q=OTCM%3aBITW&amp;form=skydnc</v>
    <v>Learn more on Bing</v>
  </rv>
  <rv s="12">
    <v>en-US</v>
    <v>bwhr5r</v>
    <v>268435456</v>
    <v>1</v>
    <v>Powered by Refinitiv</v>
    <v>28</v>
    <v>BITWISE 10 CRYPTO INDEX FUND UNT (ARCX:BITW)</v>
    <v>2</v>
    <v>29</v>
    <v>Finance</v>
    <v>4</v>
    <v>86.7</v>
    <v>37.200000000000003</v>
    <v>0.77</v>
    <v>0</v>
    <v>1.8703000000000001E-2</v>
    <v>0</v>
    <v>USD</v>
    <v>NYSE Arca</v>
    <v>ARCX</v>
    <v>42.4</v>
    <v>ETF</v>
    <v>46224.000000821092</v>
    <v>524</v>
    <v>41.26</v>
    <v>BITWISE 10 CRYPTO INDEX FUND UNT</v>
    <v>41.58</v>
    <v>41.17</v>
    <v>41.94</v>
    <v>41.94</v>
    <v>BITW</v>
    <v>BITWISE 10 CRYPTO INDEX FUND UNT (ARCX:BITW)</v>
    <v>25841</v>
    <v>51713</v>
  </rv>
  <rv s="2">
    <v>525</v>
  </rv>
  <rv s="3">
    <v>en-US</v>
    <v>ce8mrw</v>
    <v>268435456</v>
    <v>1</v>
    <v>Powered by Refinitiv</v>
    <v>5</v>
    <v>iShares Ethereum Trust (XNAS:ETHA)</v>
    <v>6</v>
    <v>7</v>
    <v>Finance</v>
    <v>4</v>
    <v>36.799999999999997</v>
    <v>11.525</v>
    <v>0.42</v>
    <v>3.9639999999999996E-3</v>
    <v>3.0194000000000002E-2</v>
    <v>5.6800000000000003E-2</v>
    <v>USD</v>
    <v>Nasdaq Stock Market</v>
    <v>XNAS</v>
    <v>2.3E-3</v>
    <v>14.47</v>
    <v>ETF</v>
    <v>46223.999898240625</v>
    <v>13.97</v>
    <v>4276033518.0599999</v>
    <v>iShares Ethereum Trust</v>
    <v>14.09</v>
    <v>13.91</v>
    <v>14.33</v>
    <v>14.386799999999999</v>
    <v>ETHA</v>
    <v>iShares Ethereum Trust (XNAS:ETHA)</v>
    <v>31917433</v>
    <v>29517843</v>
  </rv>
  <rv s="2">
    <v>527</v>
  </rv>
  <rv s="0">
    <v>https://www.bing.com/financeapi/forcetrigger?t=a1ykim&amp;q=ARCX%3aNLR&amp;form=skydnc</v>
    <v>Learn more on Bing</v>
  </rv>
  <rv s="1">
    <v>en-US</v>
    <v>a1ykim</v>
    <v>268435456</v>
    <v>1</v>
    <v>Powered by Refinitiv</v>
    <v>0</v>
    <v>VanEck:Urnium &amp; Nuclr (ARCX:NLR)</v>
    <v>2</v>
    <v>3</v>
    <v>Finance</v>
    <v>4</v>
    <v>168.1199</v>
    <v>101.92</v>
    <v>0.37309999999999999</v>
    <v>0.87</v>
    <v>4.0930000000000003E-3</v>
    <v>8.3490000000000005E-3</v>
    <v>0.43</v>
    <v>USD</v>
    <v>NYSE Arca</v>
    <v>ARCX</v>
    <v>5.1999999999999998E-3</v>
    <v>106.05</v>
    <v>ETF</v>
    <v>46224.000001365624</v>
    <v>529</v>
    <v>104.3</v>
    <v>4214125665.6999998</v>
    <v>VanEck:Urnium &amp; Nuclr</v>
    <v>105.25</v>
    <v>104.2</v>
    <v>105.07</v>
    <v>105.5</v>
    <v>NLR</v>
    <v>VanEck:Urnium &amp; Nuclr (ARCX:NLR)</v>
    <v>373426</v>
    <v>453453</v>
  </rv>
  <rv s="2">
    <v>530</v>
  </rv>
  <rv s="0">
    <v>https://www.bing.com/financeapi/forcetrigger?t=c2xccw&amp;q=ARCX%3aBOAT&amp;form=skydnc</v>
    <v>Learn more on Bing</v>
  </rv>
  <rv s="1">
    <v>en-US</v>
    <v>c2xccw</v>
    <v>268435456</v>
    <v>1</v>
    <v>Powered by Refinitiv</v>
    <v>0</v>
    <v>Tidal:SS Glb Ship (ARCX:BOAT)</v>
    <v>2</v>
    <v>3</v>
    <v>Finance</v>
    <v>4</v>
    <v>43.52</v>
    <v>29.12</v>
    <v>0.35759999999999997</v>
    <v>0.36409999999999998</v>
    <v>0</v>
    <v>8.796E-3</v>
    <v>0</v>
    <v>USD</v>
    <v>NYSE Arca</v>
    <v>ARCX</v>
    <v>6.8999999999999999E-3</v>
    <v>42.069000000000003</v>
    <v>ETF</v>
    <v>46224.000001631248</v>
    <v>532</v>
    <v>41.66</v>
    <v>67047327.57</v>
    <v>Tidal:SS Glb Ship</v>
    <v>41.71</v>
    <v>41.393900000000002</v>
    <v>41.758000000000003</v>
    <v>41.758000000000003</v>
    <v>BOAT</v>
    <v>Tidal:SS Glb Ship (ARCX:BOAT)</v>
    <v>16155</v>
    <v>19314</v>
  </rv>
  <rv s="2">
    <v>533</v>
  </rv>
  <rv s="0">
    <v>https://www.bing.com/financeapi/forcetrigger?t=c5o9nm&amp;q=BATS%3aUVIX&amp;form=skydnc</v>
    <v>Learn more on Bing</v>
  </rv>
  <rv s="1">
    <v>en-US</v>
    <v>c5o9nm</v>
    <v>268435456</v>
    <v>1</v>
    <v>Powered by Refinitiv</v>
    <v>0</v>
    <v>VS:2x Long VIX Futures (BATS:UVIX)</v>
    <v>2</v>
    <v>3</v>
    <v>Finance</v>
    <v>11</v>
    <v>417.8</v>
    <v>54.59</v>
    <v>-4.9337999999999997</v>
    <v>-2.2999999999999998</v>
    <v>1.1335999999999999E-2</v>
    <v>-3.6192000000000002E-2</v>
    <v>0.68879999999999997</v>
    <v>USD</v>
    <v>CBOE BZX Exchange</v>
    <v>BATS</v>
    <v>2.07E-2</v>
    <v>62</v>
    <v>ETF</v>
    <v>46223.99300012656</v>
    <v>535</v>
    <v>57.58</v>
    <v>289885142.39999998</v>
    <v>VS:2x Long VIX Futures</v>
    <v>58.91</v>
    <v>63.55</v>
    <v>61.25</v>
    <v>61.448799999999999</v>
    <v>UVIX</v>
    <v>VS:2x Long VIX Futures (BATS:UVIX)</v>
    <v>1749500</v>
    <v>1707225</v>
  </rv>
  <rv s="2">
    <v>536</v>
  </rv>
  <rv s="0">
    <v>https://www.bing.com/financeapi/forcetrigger?t=a255p2&amp;q=BATS%3aUVXY&amp;form=skydnc</v>
    <v>Learn more on Bing</v>
  </rv>
  <rv s="1">
    <v>en-US</v>
    <v>a255p2</v>
    <v>268435456</v>
    <v>1</v>
    <v>Powered by Refinitiv</v>
    <v>0</v>
    <v>ProShs II:UltVIX STF (BATS:UVXY)</v>
    <v>2</v>
    <v>3</v>
    <v>Finance</v>
    <v>11</v>
    <v>89.65</v>
    <v>22.66</v>
    <v>-3.8368000000000002</v>
    <v>-0.74</v>
    <v>6.0609999999999995E-3</v>
    <v>-2.9087999999999999E-2</v>
    <v>0.15</v>
    <v>USD</v>
    <v>CBOE BZX Exchange</v>
    <v>BATS</v>
    <v>1.7500000000000002E-2</v>
    <v>24.99</v>
    <v>ETF</v>
    <v>46223.999630080471</v>
    <v>538</v>
    <v>23.65</v>
    <v>233689089.08000001</v>
    <v>ProShs II:UltVIX STF</v>
    <v>24.07</v>
    <v>25.44</v>
    <v>24.7</v>
    <v>24.9</v>
    <v>UVXY</v>
    <v>ProShs II:UltVIX STF (BATS:UVXY)</v>
    <v>7228636</v>
    <v>6595670</v>
  </rv>
  <rv s="2">
    <v>539</v>
  </rv>
  <rv s="0">
    <v>https://www.bing.com/financeapi/forcetrigger?t=a25dp2&amp;q=BATS%3aVIXY&amp;form=skydnc</v>
    <v>Learn more on Bing</v>
  </rv>
  <rv s="1">
    <v>en-US</v>
    <v>a25dp2</v>
    <v>268435456</v>
    <v>1</v>
    <v>Powered by Refinitiv</v>
    <v>0</v>
    <v>ProShs II:VIX ST Fut (BATS:VIXY)</v>
    <v>2</v>
    <v>3</v>
    <v>Finance</v>
    <v>11</v>
    <v>45.77</v>
    <v>20.05</v>
    <v>-2.637</v>
    <v>-0.39</v>
    <v>7.0650000000000001E-3</v>
    <v>-1.8013999999999999E-2</v>
    <v>0.15</v>
    <v>USD</v>
    <v>CBOE BZX Exchange</v>
    <v>BATS</v>
    <v>1.1899999999999999E-2</v>
    <v>21.42</v>
    <v>ETF</v>
    <v>46223.99803993047</v>
    <v>541</v>
    <v>20.2</v>
    <v>197588953.78</v>
    <v>ProShs II:VIX ST Fut</v>
    <v>20.89</v>
    <v>21.65</v>
    <v>21.26</v>
    <v>21.38</v>
    <v>VIXY</v>
    <v>ProShs II:VIX ST Fut (BATS:VIXY)</v>
    <v>2427865</v>
    <v>2654019</v>
  </rv>
  <rv s="2">
    <v>542</v>
  </rv>
  <rv s="13">
    <v>en-US</v>
    <v>ccr25r</v>
    <v>268435456</v>
    <v>1</v>
    <v>Powered by Refinitiv</v>
    <v>30</v>
    <v>DESTINY TECH100 INC. (XNYS:DXYZ)</v>
    <v>31</v>
    <v>32</v>
    <v>Finance</v>
    <v>17</v>
    <v>72.87</v>
    <v>19.7105</v>
    <v>-1.4</v>
    <v>0</v>
    <v>-5.3907999999999998E-2</v>
    <v>0</v>
    <v>USD</v>
    <v>Destiny Tech100 Inc. (the Fund) is a non-diversified, closed-end management investment company. The Fund’s investment objective is to maximize the portfolio’s total return, principally by seeking capital gains on equity and equity-related investments. Under normal market conditions, the Fund will invest at least 80% of its total assets in equity and equity-linked securities of companies principally engaged in the technology sector. The Fund will invest in the equity and equity-linked securities of what it believes to be rapidly growing venture-capital-backed emerging companies, located in the United States. The Fund may also invest on an opportunistic basis in select United States publicly traded equity securities or certain non-United States companies that otherwise meet its investment criteria. It concentrates its investments in companies operating in one or more industries within the technology group of industries. Destiny Advisors LLC serves as the investment adviser to the Fund.</v>
    <v>New York Stock Exchange</v>
    <v>XNYS</v>
    <v>XNYS</v>
    <v>1401 Lavaca Street #144, AUSTIN, TX, 78701 US</v>
    <v>25.8932</v>
    <v>Collective Investments</v>
    <v>Stock</v>
    <v>46223.999394640625</v>
    <v>24.51</v>
    <v>DESTINY TECH100 INC.</v>
    <v>DESTINY TECH100 INC.</v>
    <v>25.81</v>
    <v>14.791399999999999</v>
    <v>25.97</v>
    <v>24.57</v>
    <v>24.57</v>
    <v>21976310</v>
    <v>DXYZ</v>
    <v>DESTINY TECH100 INC. (XNYS:DXYZ)</v>
    <v>943715</v>
    <v>2832371</v>
    <v>2020</v>
  </rv>
  <rv s="2">
    <v>544</v>
  </rv>
  <rv s="0">
    <v>https://www.bing.com/financeapi/forcetrigger?t=a25nqh&amp;q=ARCX%3aVXF&amp;form=skydnc</v>
    <v>Learn more on Bing</v>
  </rv>
  <rv s="1">
    <v>en-US</v>
    <v>a25nqh</v>
    <v>268435456</v>
    <v>1</v>
    <v>Powered by Refinitiv</v>
    <v>0</v>
    <v>Vanguard Ext MI;ETF (ARCX:VXF)</v>
    <v>2</v>
    <v>3</v>
    <v>Finance</v>
    <v>4</v>
    <v>247.67</v>
    <v>191.17</v>
    <v>0.84350000000000003</v>
    <v>-1.76</v>
    <v>0</v>
    <v>-7.3889999999999997E-3</v>
    <v>0</v>
    <v>USD</v>
    <v>NYSE Arca</v>
    <v>ARCX</v>
    <v>5.0000000000000001E-4</v>
    <v>239.47</v>
    <v>ETF</v>
    <v>46223.982073217187</v>
    <v>546</v>
    <v>236.36500000000001</v>
    <v>31569143521</v>
    <v>Vanguard Ext MI;ETF</v>
    <v>238.86</v>
    <v>238.18</v>
    <v>236.42</v>
    <v>236.42</v>
    <v>VXF</v>
    <v>Vanguard Ext MI;ETF (ARCX:VXF)</v>
    <v>388024</v>
    <v>505679</v>
  </rv>
  <rv s="2">
    <v>547</v>
  </rv>
  <rv s="0">
    <v>https://www.bing.com/financeapi/forcetrigger?t=bwgbur&amp;q=XNAS%3aQQQJ&amp;form=skydnc</v>
    <v>Learn more on Bing</v>
  </rv>
  <rv s="1">
    <v>en-US</v>
    <v>bwgbur</v>
    <v>268435456</v>
    <v>1</v>
    <v>Powered by Refinitiv</v>
    <v>0</v>
    <v>Invesco NASDAQ NG 100 (XNAS:QQQJ)</v>
    <v>2</v>
    <v>3</v>
    <v>Finance</v>
    <v>4</v>
    <v>46.17</v>
    <v>32.46</v>
    <v>1.1794</v>
    <v>-0.24</v>
    <v>0</v>
    <v>-5.4769999999999992E-3</v>
    <v>0</v>
    <v>USD</v>
    <v>Nasdaq Stock Market</v>
    <v>XNAS</v>
    <v>1.5E-3</v>
    <v>44.085000000000001</v>
    <v>ETF</v>
    <v>46223.982032580469</v>
    <v>549</v>
    <v>43.571100000000001</v>
    <v>1143430001.21</v>
    <v>Invesco NASDAQ NG 100</v>
    <v>43.97</v>
    <v>43.82</v>
    <v>43.58</v>
    <v>43.58</v>
    <v>QQQJ</v>
    <v>Invesco NASDAQ NG 100 (XNAS:QQQJ)</v>
    <v>194445</v>
    <v>152104</v>
  </rv>
  <rv s="2">
    <v>550</v>
  </rv>
  <rv s="0">
    <v>https://www.bing.com/financeapi/forcetrigger?t=ayqfa2&amp;q=ARCX%3aFNGD&amp;form=skydnc</v>
    <v>Learn more on Bing</v>
  </rv>
  <rv s="14">
    <v>en-US</v>
    <v>ayqfa2</v>
    <v>268435456</v>
    <v>1</v>
    <v>Powered by Refinitiv</v>
    <v>33</v>
    <v>BANK OF MONTREAL (ARCX:FNGD)</v>
    <v>15</v>
    <v>34</v>
    <v>Finance</v>
    <v>17</v>
    <v>87.38</v>
    <v>28.72</v>
    <v>1.1521999999999999</v>
    <v>-0.61</v>
    <v>5.7689999999999998E-4</v>
    <v>-1.729E-2</v>
    <v>0.02</v>
    <v>USD</v>
    <v>Bank of Montreal (the Bank) is a North American bank. The Bank provides a broad range of personal and commercial banking, wealth management, global markets and investment banking products and services. The Bank serves about 13 million customers across North America, and in select markets globally, through three integrated operating groups: Personal and Commercial Banking (P&amp;C), BMO Wealth Management and BMO Capital Markets. The P&amp;C operating group represents the sum of its two retail and commercial operating segments, Canadian Personal and Commercial Banking (Canadian P&amp;C) and U.S. Personal and Commercial Banking (U.S. P&amp;C). BMO Wealth Management serves a full range of clients, from individuals and families to business owners and institutions, offering a wide spectrum of wealth, asset management and insurance products and services. BMO Capital Markets offers a comprehensive range of products and services to corporate, institutional and government clients.</v>
    <v>53000</v>
    <v>NYSE Arca</v>
    <v>ARCX</v>
    <v>ARCX</v>
    <v>1 First Canadian Place, TORONTO, ON, M5X 1A1 CA</v>
    <v>34.96</v>
    <v>Banking Services</v>
    <v>Stock</v>
    <v>46223.982070138278</v>
    <v>552</v>
    <v>33.74</v>
    <v>178711300000</v>
    <v>BANK OF MONTREAL</v>
    <v>BANK OF MONTREAL</v>
    <v>34.57</v>
    <v>35.28</v>
    <v>34.67</v>
    <v>34.69</v>
    <v>700416600</v>
    <v>FNGD</v>
    <v>BANK OF MONTREAL (ARCX:FNGD)</v>
    <v>582850</v>
    <v>595259</v>
    <v>1995</v>
  </rv>
  <rv s="2">
    <v>553</v>
  </rv>
  <rv s="0">
    <v>https://www.bing.com/financeapi/forcetrigger?t=a23hc7&amp;q=ARCX%3aSPXS&amp;form=skydnc</v>
    <v>Learn more on Bing</v>
  </rv>
  <rv s="1">
    <v>en-US</v>
    <v>a23hc7</v>
    <v>268435456</v>
    <v>1</v>
    <v>Powered by Refinitiv</v>
    <v>0</v>
    <v>Direxion:S&amp;P 500 Bear 3X (ARCX:SPXS)</v>
    <v>2</v>
    <v>3</v>
    <v>Finance</v>
    <v>4</v>
    <v>47.2</v>
    <v>25.53</v>
    <v>-2.9039000000000001</v>
    <v>0.12</v>
    <v>-3.6900000000000002E-4</v>
    <v>4.4479999999999997E-3</v>
    <v>-0.01</v>
    <v>USD</v>
    <v>NYSE Arca</v>
    <v>ARCX</v>
    <v>1.04E-2</v>
    <v>27.1692</v>
    <v>ETF</v>
    <v>46224.000001585155</v>
    <v>555</v>
    <v>26.38</v>
    <v>297558738.58999997</v>
    <v>Direxion:S&amp;P 500 Bear 3X</v>
    <v>26.57</v>
    <v>26.98</v>
    <v>27.1</v>
    <v>27.09</v>
    <v>SPXS</v>
    <v>Direxion:S&amp;P 500 Bear 3X (ARCX:SPXS)</v>
    <v>9357756</v>
    <v>11020123</v>
  </rv>
  <rv s="2">
    <v>556</v>
  </rv>
  <rv s="0">
    <v>https://www.bing.com/financeapi/forcetrigger?t=a23imw&amp;q=XNAS%3aSQQQ&amp;form=skydnc</v>
    <v>Learn more on Bing</v>
  </rv>
  <rv s="1">
    <v>en-US</v>
    <v>a23imw</v>
    <v>268435456</v>
    <v>1</v>
    <v>Powered by Refinitiv</v>
    <v>0</v>
    <v>ProShares:UltP Sht QQQ (XNAS:SQQQ)</v>
    <v>2</v>
    <v>3</v>
    <v>Finance</v>
    <v>4</v>
    <v>98.85</v>
    <v>35.799999999999997</v>
    <v>-2.9388999999999998</v>
    <v>-0.11</v>
    <v>4.6860000000000001E-4</v>
    <v>-2.5709999999999999E-3</v>
    <v>0.02</v>
    <v>USD</v>
    <v>Nasdaq Stock Market</v>
    <v>XNAS</v>
    <v>9.4999999999999998E-3</v>
    <v>42.761499999999998</v>
    <v>ETF</v>
    <v>46223.999953159378</v>
    <v>558</v>
    <v>40.869999999999997</v>
    <v>1985085102.6900001</v>
    <v>ProShares:UltP Sht QQQ</v>
    <v>41.54</v>
    <v>42.79</v>
    <v>42.68</v>
    <v>42.7</v>
    <v>SQQQ</v>
    <v>ProShares:UltP Sht QQQ (XNAS:SQQQ)</v>
    <v>48042965</v>
    <v>62399196</v>
  </rv>
  <rv s="2">
    <v>559</v>
  </rv>
  <rv s="0">
    <v>https://www.bing.com/financeapi/forcetrigger?t=a24q6h&amp;q=ARCX%3aTZA&amp;form=skydnc</v>
    <v>Learn more on Bing</v>
  </rv>
  <rv s="1">
    <v>en-US</v>
    <v>a24q6h</v>
    <v>268435456</v>
    <v>1</v>
    <v>Powered by Refinitiv</v>
    <v>0</v>
    <v>Direxion:Sm Cap Bear 3X (ARCX:TZA)</v>
    <v>2</v>
    <v>3</v>
    <v>Finance</v>
    <v>4</v>
    <v>123.75</v>
    <v>37.1</v>
    <v>-3.0036</v>
    <v>0.73</v>
    <v>-7.3999999999999999E-4</v>
    <v>1.7971000000000001E-2</v>
    <v>-3.0599999999999999E-2</v>
    <v>USD</v>
    <v>NYSE Arca</v>
    <v>ARCX</v>
    <v>9.8999999999999991E-3</v>
    <v>41.41</v>
    <v>ETF</v>
    <v>46223.999721539061</v>
    <v>561</v>
    <v>39.840000000000003</v>
    <v>207656195.58000001</v>
    <v>Direxion:Sm Cap Bear 3X</v>
    <v>40.25</v>
    <v>40.619999999999997</v>
    <v>41.35</v>
    <v>41.319400000000002</v>
    <v>TZA</v>
    <v>Direxion:Sm Cap Bear 3X (ARCX:TZA)</v>
    <v>4152414</v>
    <v>25339623</v>
  </rv>
  <rv s="2">
    <v>562</v>
  </rv>
  <rv s="0">
    <v>https://www.bing.com/financeapi/forcetrigger?t=a22f1h&amp;q=ARCX%3aRYU&amp;form=skydnc</v>
    <v>Learn more on Bing</v>
  </rv>
  <rv s="1">
    <v>en-US</v>
    <v>a22f1h</v>
    <v>268435456</v>
    <v>1</v>
    <v>Powered by Refinitiv</v>
    <v>0</v>
    <v>Invesco S&amp;P500 EW Ut (ARCX:RSPU)</v>
    <v>2</v>
    <v>3</v>
    <v>Finance</v>
    <v>4</v>
    <v>84.519499999999994</v>
    <v>72.510000000000005</v>
    <v>0.94599999999999995</v>
    <v>-0.48</v>
    <v>0</v>
    <v>-5.9550000000000002E-3</v>
    <v>0</v>
    <v>USD</v>
    <v>NYSE Arca</v>
    <v>ARCX</v>
    <v>4.0000000000000001E-3</v>
    <v>81.41</v>
    <v>ETF</v>
    <v>46223.98206711797</v>
    <v>564</v>
    <v>79.959999999999994</v>
    <v>545964244.72000003</v>
    <v>Invesco S&amp;P500 EW Ut</v>
    <v>80.709999999999994</v>
    <v>80.599999999999994</v>
    <v>80.12</v>
    <v>80.12</v>
    <v>RSPU</v>
    <v>Invesco S&amp;P500 EW Ut (ARCX:RSPU)</v>
    <v>57699</v>
    <v>34649</v>
  </rv>
  <rv s="2">
    <v>565</v>
  </rv>
  <rv s="0">
    <v>https://www.bing.com/financeapi/forcetrigger?t=a22ear&amp;q=ARCX%3aRYF&amp;form=skydnc</v>
    <v>Learn more on Bing</v>
  </rv>
  <rv s="1">
    <v>en-US</v>
    <v>a22ear</v>
    <v>268435456</v>
    <v>1</v>
    <v>Powered by Refinitiv</v>
    <v>0</v>
    <v>Invesco S&amp;P500 EW Fn (ARCX:RSPF)</v>
    <v>2</v>
    <v>3</v>
    <v>Finance</v>
    <v>4</v>
    <v>83.191400000000002</v>
    <v>69.040000000000006</v>
    <v>1.0611999999999999</v>
    <v>-0.2838</v>
    <v>0</v>
    <v>-3.4329999999999999E-3</v>
    <v>0</v>
    <v>USD</v>
    <v>NYSE Arca</v>
    <v>ARCX</v>
    <v>4.0000000000000001E-3</v>
    <v>82.7</v>
    <v>ETF</v>
    <v>46224.000001400003</v>
    <v>567</v>
    <v>82.114999999999995</v>
    <v>286442093.31999999</v>
    <v>Invesco S&amp;P500 EW Fn</v>
    <v>82.7</v>
    <v>82.68</v>
    <v>82.396199999999993</v>
    <v>82.396199999999993</v>
    <v>RSPF</v>
    <v>Invesco S&amp;P500 EW Fn (ARCX:RSPF)</v>
    <v>20072</v>
    <v>25538</v>
  </rv>
  <rv s="2">
    <v>568</v>
  </rv>
  <rv s="0">
    <v>https://www.bing.com/financeapi/forcetrigger?t=bnt7hw&amp;q=ARCX%3aEWCO&amp;form=skydnc</v>
    <v>Learn more on Bing</v>
  </rv>
  <rv s="1">
    <v>en-US</v>
    <v>bnt7hw</v>
    <v>268435456</v>
    <v>1</v>
    <v>Powered by Refinitiv</v>
    <v>0</v>
    <v>Invesco S&amp;P 500 EW CS (ARCX:RSPC)</v>
    <v>2</v>
    <v>3</v>
    <v>Finance</v>
    <v>4</v>
    <v>41.47</v>
    <v>34.883400000000002</v>
    <v>0.77129999999999999</v>
    <v>-0.1414</v>
    <v>0</v>
    <v>-3.9250000000000005E-3</v>
    <v>0</v>
    <v>USD</v>
    <v>NYSE Arca</v>
    <v>ARCX</v>
    <v>4.0000000000000001E-3</v>
    <v>36.11</v>
    <v>ETF</v>
    <v>46224.000001214845</v>
    <v>570</v>
    <v>35.888100000000001</v>
    <v>58988444.049999997</v>
    <v>Invesco S&amp;P 500 EW CS</v>
    <v>36.090000000000003</v>
    <v>36.029499999999999</v>
    <v>35.888100000000001</v>
    <v>35.888100000000001</v>
    <v>RSPC</v>
    <v>Invesco S&amp;P 500 EW CS (ARCX:RSPC)</v>
    <v>1782</v>
    <v>14546</v>
  </rv>
  <rv s="2">
    <v>571</v>
  </rv>
  <rv s="0">
    <v>https://www.bing.com/financeapi/forcetrigger?t=a21yfr&amp;q=ARCX%3aRGI&amp;form=skydnc</v>
    <v>Learn more on Bing</v>
  </rv>
  <rv s="1">
    <v>en-US</v>
    <v>a21yfr</v>
    <v>268435456</v>
    <v>1</v>
    <v>Powered by Refinitiv</v>
    <v>0</v>
    <v>Invesco S&amp;P500 EW In (ARCX:RSPN)</v>
    <v>2</v>
    <v>3</v>
    <v>Finance</v>
    <v>4</v>
    <v>64.5</v>
    <v>53.465000000000003</v>
    <v>0.99980000000000002</v>
    <v>-0.47</v>
    <v>0</v>
    <v>-7.4790000000000004E-3</v>
    <v>0</v>
    <v>USD</v>
    <v>NYSE Arca</v>
    <v>ARCX</v>
    <v>4.0000000000000001E-3</v>
    <v>62.98</v>
    <v>ETF</v>
    <v>46224.000001608591</v>
    <v>573</v>
    <v>62.305</v>
    <v>1097764379.23</v>
    <v>Invesco S&amp;P500 EW In</v>
    <v>62.98</v>
    <v>62.84</v>
    <v>62.37</v>
    <v>62.37</v>
    <v>RSPN</v>
    <v>Invesco S&amp;P500 EW In (ARCX:RSPN)</v>
    <v>42095</v>
    <v>103966</v>
  </rv>
  <rv s="2">
    <v>574</v>
  </rv>
  <rv s="0">
    <v>https://www.bing.com/financeapi/forcetrigger?t=a22edm&amp;q=ARCX%3aRYH&amp;form=skydnc</v>
    <v>Learn more on Bing</v>
  </rv>
  <rv s="1">
    <v>en-US</v>
    <v>a22edm</v>
    <v>268435456</v>
    <v>1</v>
    <v>Powered by Refinitiv</v>
    <v>0</v>
    <v>Invesco S&amp;P500 EW HC (ARCX:RSPH)</v>
    <v>2</v>
    <v>3</v>
    <v>Finance</v>
    <v>4</v>
    <v>34.898000000000003</v>
    <v>27.328099999999999</v>
    <v>1.0194000000000001</v>
    <v>-0.34</v>
    <v>0</v>
    <v>-1.0003E-2</v>
    <v>0</v>
    <v>USD</v>
    <v>NYSE Arca</v>
    <v>ARCX</v>
    <v>4.0000000000000001E-3</v>
    <v>33.94</v>
    <v>ETF</v>
    <v>46223.98204572891</v>
    <v>576</v>
    <v>33.630099999999999</v>
    <v>703307190.71000004</v>
    <v>Invesco S&amp;P500 EW HC</v>
    <v>33.94</v>
    <v>33.99</v>
    <v>33.65</v>
    <v>33.65</v>
    <v>RSPH</v>
    <v>Invesco S&amp;P500 EW HC (ARCX:RSPH)</v>
    <v>96946</v>
    <v>157250</v>
  </rv>
  <rv s="2">
    <v>577</v>
  </rv>
  <rv s="0">
    <v>https://www.bing.com/financeapi/forcetrigger?t=a21zkr&amp;q=ARCX%3aRHS&amp;form=skydnc</v>
    <v>Learn more on Bing</v>
  </rv>
  <rv s="1">
    <v>en-US</v>
    <v>a21zkr</v>
    <v>268435456</v>
    <v>1</v>
    <v>Powered by Refinitiv</v>
    <v>0</v>
    <v>Invesco S&amp;P500 EW CS (ARCX:RSPS)</v>
    <v>2</v>
    <v>3</v>
    <v>Finance</v>
    <v>4</v>
    <v>33.369999999999997</v>
    <v>28.21</v>
    <v>0.94620000000000004</v>
    <v>-0.02</v>
    <v>0</v>
    <v>-6.4829999999999998E-4</v>
    <v>0</v>
    <v>USD</v>
    <v>NYSE Arca</v>
    <v>ARCX</v>
    <v>4.0000000000000001E-3</v>
    <v>30.88</v>
    <v>ETF</v>
    <v>46224.000001654691</v>
    <v>579</v>
    <v>30.720099999999999</v>
    <v>236493895.59</v>
    <v>Invesco S&amp;P500 EW CS</v>
    <v>30.87</v>
    <v>30.85</v>
    <v>30.83</v>
    <v>30.83</v>
    <v>RSPS</v>
    <v>Invesco S&amp;P500 EW CS (ARCX:RSPS)</v>
    <v>92859</v>
    <v>72934</v>
  </rv>
  <rv s="2">
    <v>580</v>
  </rv>
  <rv s="0">
    <v>https://www.bing.com/financeapi/forcetrigger?t=a22e7w&amp;q=ARCX%3aRYE&amp;form=skydnc</v>
    <v>Learn more on Bing</v>
  </rv>
  <rv s="1">
    <v>en-US</v>
    <v>a22e7w</v>
    <v>268435456</v>
    <v>1</v>
    <v>Powered by Refinitiv</v>
    <v>0</v>
    <v>Invesco S&amp;P500 EW En (ARCX:RSPG)</v>
    <v>2</v>
    <v>3</v>
    <v>Finance</v>
    <v>4</v>
    <v>114.01</v>
    <v>73.3</v>
    <v>1.1063000000000001</v>
    <v>0.03</v>
    <v>0</v>
    <v>2.8689999999999998E-4</v>
    <v>0</v>
    <v>USD</v>
    <v>NYSE Arca</v>
    <v>ARCX</v>
    <v>4.0000000000000001E-3</v>
    <v>105.58</v>
    <v>ETF</v>
    <v>46224.000001400003</v>
    <v>582</v>
    <v>104.22</v>
    <v>526038930.94</v>
    <v>Invesco S&amp;P500 EW En</v>
    <v>104.22</v>
    <v>104.57</v>
    <v>104.6</v>
    <v>104.6</v>
    <v>RSPG</v>
    <v>Invesco S&amp;P500 EW En (ARCX:RSPG)</v>
    <v>89704</v>
    <v>106748</v>
  </rv>
  <rv s="2">
    <v>583</v>
  </rv>
  <rv s="0">
    <v>https://www.bing.com/financeapi/forcetrigger?t=a1sgbh&amp;q=ARCX%3aEWRE&amp;form=skydnc</v>
    <v>Learn more on Bing</v>
  </rv>
  <rv s="1">
    <v>en-US</v>
    <v>a1sgbh</v>
    <v>268435456</v>
    <v>1</v>
    <v>Powered by Refinitiv</v>
    <v>0</v>
    <v>Invesco S&amp;P 500 EWRE (ARCX:RSPR)</v>
    <v>2</v>
    <v>3</v>
    <v>Finance</v>
    <v>4</v>
    <v>37.774999999999999</v>
    <v>32.409999999999997</v>
    <v>0.93930000000000002</v>
    <v>-0.11650000000000001</v>
    <v>4.1410000000000004E-4</v>
    <v>-3.1230000000000003E-3</v>
    <v>1.54E-2</v>
    <v>USD</v>
    <v>NYSE Arca</v>
    <v>ARCX</v>
    <v>4.0000000000000001E-3</v>
    <v>37.24</v>
    <v>ETF</v>
    <v>46224.000001666405</v>
    <v>585</v>
    <v>37.17</v>
    <v>105195207.19</v>
    <v>Invesco S&amp;P 500 EWRE</v>
    <v>37.17</v>
    <v>37.307899999999997</v>
    <v>37.191400000000002</v>
    <v>37.206800000000001</v>
    <v>RSPR</v>
    <v>Invesco S&amp;P 500 EWRE (ARCX:RSPR)</v>
    <v>3871</v>
    <v>13616</v>
  </rv>
  <rv s="2">
    <v>586</v>
  </rv>
  <rv s="0">
    <v>https://www.bing.com/financeapi/forcetrigger?t=a21rhw&amp;q=ARCX%3aRCD&amp;form=skydnc</v>
    <v>Learn more on Bing</v>
  </rv>
  <rv s="1">
    <v>en-US</v>
    <v>a21rhw</v>
    <v>268435456</v>
    <v>1</v>
    <v>Powered by Refinitiv</v>
    <v>0</v>
    <v>Invesco S&amp;P500 EW CD (ARCX:RSPD)</v>
    <v>2</v>
    <v>3</v>
    <v>Finance</v>
    <v>4</v>
    <v>60.34</v>
    <v>50.965000000000003</v>
    <v>0.9728</v>
    <v>-0.4</v>
    <v>0</v>
    <v>-7.2099999999999994E-3</v>
    <v>0</v>
    <v>USD</v>
    <v>NYSE Arca</v>
    <v>ARCX</v>
    <v>4.0000000000000001E-3</v>
    <v>55.65</v>
    <v>ETF</v>
    <v>46224.000001666405</v>
    <v>588</v>
    <v>54.909300000000002</v>
    <v>307035943.68000001</v>
    <v>Invesco S&amp;P500 EW CD</v>
    <v>55.65</v>
    <v>55.48</v>
    <v>55.08</v>
    <v>55.08</v>
    <v>RSPD</v>
    <v>Invesco S&amp;P500 EW CD (ARCX:RSPD)</v>
    <v>40987</v>
    <v>69694</v>
  </rv>
  <rv s="2">
    <v>589</v>
  </rv>
  <rv s="0">
    <v>https://www.bing.com/financeapi/forcetrigger?t=a22eur&amp;q=ARCX%3aRYT&amp;form=skydnc</v>
    <v>Learn more on Bing</v>
  </rv>
  <rv s="1">
    <v>en-US</v>
    <v>a22eur</v>
    <v>268435456</v>
    <v>1</v>
    <v>Powered by Refinitiv</v>
    <v>0</v>
    <v>Invesco S&amp;P500 EW Tc (ARCX:RSPT)</v>
    <v>2</v>
    <v>3</v>
    <v>Finance</v>
    <v>4</v>
    <v>67.489999999999995</v>
    <v>40.29</v>
    <v>1.1910000000000001</v>
    <v>0.01</v>
    <v>1.8674E-2</v>
    <v>1.6830000000000003E-4</v>
    <v>1.1100000000000001</v>
    <v>USD</v>
    <v>NYSE Arca</v>
    <v>ARCX</v>
    <v>4.0000000000000001E-3</v>
    <v>60.25</v>
    <v>ETF</v>
    <v>46224.000001654691</v>
    <v>591</v>
    <v>59.33</v>
    <v>5800211358.71</v>
    <v>Invesco S&amp;P500 EW Tc</v>
    <v>59.76</v>
    <v>59.43</v>
    <v>59.44</v>
    <v>60.55</v>
    <v>RSPT</v>
    <v>Invesco S&amp;P500 EW Tc (ARCX:RSPT)</v>
    <v>729129</v>
    <v>916996</v>
  </rv>
  <rv s="2">
    <v>592</v>
  </rv>
  <rv s="0">
    <v>https://www.bing.com/financeapi/forcetrigger?t=a22ap2&amp;q=ARCX%3aRTM&amp;form=skydnc</v>
    <v>Learn more on Bing</v>
  </rv>
  <rv s="1">
    <v>en-US</v>
    <v>a22ap2</v>
    <v>268435456</v>
    <v>1</v>
    <v>Powered by Refinitiv</v>
    <v>0</v>
    <v>Invesco S&amp;P500 EW Mt (ARCX:RSPM)</v>
    <v>2</v>
    <v>3</v>
    <v>Finance</v>
    <v>4</v>
    <v>41.42</v>
    <v>30.98</v>
    <v>1.0046999999999999</v>
    <v>-0.38940000000000002</v>
    <v>-1.372E-3</v>
    <v>-1.0091000000000001E-2</v>
    <v>-5.2400000000000002E-2</v>
    <v>USD</v>
    <v>NYSE Arca</v>
    <v>ARCX</v>
    <v>4.0000000000000001E-3</v>
    <v>38.76</v>
    <v>ETF</v>
    <v>46224.000001631248</v>
    <v>594</v>
    <v>38.105600000000003</v>
    <v>175819931.28</v>
    <v>Invesco S&amp;P500 EW Mt</v>
    <v>38.76</v>
    <v>38.588799999999999</v>
    <v>38.199399999999997</v>
    <v>38.146999999999998</v>
    <v>RSPM</v>
    <v>Invesco S&amp;P500 EW Mt (ARCX:RSPM)</v>
    <v>4222</v>
    <v>17739</v>
  </rv>
  <rv s="2">
    <v>595</v>
  </rv>
</rvData>
</file>

<file path=xl/richData/rdrichvaluestructure.xml><?xml version="1.0" encoding="utf-8"?>
<rvStructures xmlns="http://schemas.microsoft.com/office/spreadsheetml/2017/richdata" count="15">
  <s t="_hyperlink">
    <k n="Address" t="s"/>
    <k n="Text" t="s"/>
  </s>
  <s t="_linkedentitycore">
    <k n="%EntityCulture" t="s"/>
    <k n="%EntityId" t="s"/>
    <k n="%EntityServiceId"/>
    <k n="%IsRefreshable" t="b"/>
    <k n="%ProviderInfo" t="s"/>
    <k n="_Display" t="spb"/>
    <k n="_DisplayString" t="s"/>
    <k n="_Flags" t="spb"/>
    <k n="_Format" t="spb"/>
    <k n="_Icon" t="s"/>
    <k n="_SubLabel" t="spb"/>
    <k n="52 week high"/>
    <k n="52 week low"/>
    <k n="Beta"/>
    <k n="Change"/>
    <k n="Change % (Extended hours)"/>
    <k n="Change (%)"/>
    <k n="Change (Extended hours)"/>
    <k n="Currency" t="s"/>
    <k n="Exchange" t="s"/>
    <k n="Exchange abbreviation" t="s"/>
    <k n="Expense ratio"/>
    <k n="High"/>
    <k n="Instrument type" t="s"/>
    <k n="Last trade time"/>
    <k n="LearnMoreOnLink" t="r"/>
    <k n="Low"/>
    <k n="Market cap"/>
    <k n="Name" t="s"/>
    <k n="Open"/>
    <k n="Previous close"/>
    <k n="Price"/>
    <k n="Price (Extended hours)"/>
    <k n="Ticker symbol" t="s"/>
    <k n="UniqueName" t="s"/>
    <k n="Volume"/>
    <k n="Volume average"/>
  </s>
  <s t="_linkedentity">
    <k n="%cvi" t="r"/>
  </s>
  <s t="_linkedentitycore">
    <k n="%EntityCulture" t="s"/>
    <k n="%EntityId" t="s"/>
    <k n="%EntityServiceId"/>
    <k n="%IsRefreshable" t="b"/>
    <k n="%ProviderInfo" t="s"/>
    <k n="_Display" t="spb"/>
    <k n="_DisplayString" t="s"/>
    <k n="_Flags" t="spb"/>
    <k n="_Format" t="spb"/>
    <k n="_Icon" t="s"/>
    <k n="_SubLabel" t="spb"/>
    <k n="52 week high"/>
    <k n="52 week low"/>
    <k n="Change"/>
    <k n="Change % (Extended hours)"/>
    <k n="Change (%)"/>
    <k n="Change (Extended hours)"/>
    <k n="Currency" t="s"/>
    <k n="Exchange" t="s"/>
    <k n="Exchange abbreviation" t="s"/>
    <k n="Expense ratio"/>
    <k n="High"/>
    <k n="Instrument type" t="s"/>
    <k n="Last trade time"/>
    <k n="Low"/>
    <k n="Market cap"/>
    <k n="Name" t="s"/>
    <k n="Open"/>
    <k n="Previous close"/>
    <k n="Price"/>
    <k n="Price (Extended hours)"/>
    <k n="Ticker symbol" t="s"/>
    <k n="UniqueName" t="s"/>
    <k n="Volume"/>
    <k n="Volume average"/>
  </s>
  <s t="_linkedentitycore">
    <k n="%EntityCulture" t="s"/>
    <k n="%EntityId" t="s"/>
    <k n="%EntityServiceId"/>
    <k n="%IsRefreshable" t="b"/>
    <k n="%ProviderInfo" t="s"/>
    <k n="_Display" t="spb"/>
    <k n="_DisplayString" t="s"/>
    <k n="_Flags" t="spb"/>
    <k n="_Format" t="spb"/>
    <k n="_Icon" t="s"/>
    <k n="_SubLabel" t="spb"/>
    <k n="52 week high"/>
    <k n="52 week low"/>
    <k n="Change"/>
    <k n="Change (%)"/>
    <k n="Country/region" t="s"/>
    <k n="High"/>
    <k n="Instrument type" t="s"/>
    <k n="LearnMoreOnLink" t="r"/>
    <k n="Low"/>
    <k n="Name" t="s"/>
    <k n="Open"/>
    <k n="Previous close"/>
    <k n="Price"/>
    <k n="Ticker symbol" t="s"/>
    <k n="UniqueName" t="s"/>
  </s>
  <s t="_linkedentitycore">
    <k n="%EntityCulture" t="s"/>
    <k n="%EntityId" t="s"/>
    <k n="%EntityServiceId"/>
    <k n="%IsRefreshable" t="b"/>
    <k n="%ProviderInfo" t="s"/>
    <k n="_Display" t="spb"/>
    <k n="_DisplayString" t="s"/>
    <k n="_Flags" t="spb"/>
    <k n="_Format" t="spb"/>
    <k n="_Icon" t="s"/>
    <k n="_SubLabel" t="spb"/>
    <k n="52 week high"/>
    <k n="52 week low"/>
    <k n="Beta"/>
    <k n="Change"/>
    <k n="Change % (Extended hours)"/>
    <k n="Change (%)"/>
    <k n="Change (Extended hours)"/>
    <k n="Currency" t="s"/>
    <k n="Exchange" t="s"/>
    <k n="Exchange abbreviation" t="s"/>
    <k n="Expense ratio"/>
    <k n="High"/>
    <k n="Instrument type" t="s"/>
    <k n="Last trade time"/>
    <k n="Low"/>
    <k n="Market cap"/>
    <k n="Name" t="s"/>
    <k n="Open"/>
    <k n="Previous close"/>
    <k n="Price"/>
    <k n="Price (Extended hours)"/>
    <k n="Ticker symbol" t="s"/>
    <k n="UniqueName" t="s"/>
    <k n="Volume"/>
    <k n="Volume average"/>
  </s>
  <s t="_linkedentitycore">
    <k n="%EntityCulture" t="s"/>
    <k n="%EntityId" t="s"/>
    <k n="%EntityServiceId"/>
    <k n="%IsRefreshable" t="b"/>
    <k n="%OutdatedReason" t="i"/>
    <k n="%ProviderInfo" t="s"/>
    <k n="_Display" t="spb"/>
    <k n="_DisplayString" t="s"/>
    <k n="_Flags" t="spb"/>
    <k n="_Format" t="spb"/>
    <k n="_Icon" t="s"/>
    <k n="_SubLabel" t="spb"/>
    <k n="52 week high"/>
    <k n="52 week low"/>
    <k n="Beta"/>
    <k n="Change"/>
    <k n="Change % (Extended hours)"/>
    <k n="Change (%)"/>
    <k n="Change (Extended hours)"/>
    <k n="Currency" t="s"/>
    <k n="Exchange" t="s"/>
    <k n="Exchange abbreviation" t="s"/>
    <k n="Expense ratio"/>
    <k n="High"/>
    <k n="Instrument type" t="s"/>
    <k n="Last trade time"/>
    <k n="LearnMoreOnLink" t="r"/>
    <k n="Low"/>
    <k n="Market cap"/>
    <k n="Name" t="s"/>
    <k n="Open"/>
    <k n="Previous close"/>
    <k n="Price"/>
    <k n="Price (Extended hours)"/>
    <k n="Ticker symbol" t="s"/>
    <k n="UniqueName" t="s"/>
    <k n="Volume"/>
    <k n="Volume average"/>
  </s>
  <s t="_linkedentitycore">
    <k n="%EntityCulture" t="s"/>
    <k n="%EntityId" t="s"/>
    <k n="%EntityServiceId"/>
    <k n="%IsRefreshable" t="b"/>
    <k n="%ProviderInfo" t="s"/>
    <k n="_Display" t="spb"/>
    <k n="_DisplayString" t="s"/>
    <k n="_Flags" t="spb"/>
    <k n="_Format" t="spb"/>
    <k n="_Icon" t="s"/>
    <k n="_SubLabel" t="spb"/>
    <k n="52 week high"/>
    <k n="52 week low"/>
    <k n="Beta"/>
    <k n="Change"/>
    <k n="Change % (Extended hours)"/>
    <k n="Change (%)"/>
    <k n="Change (Extended hours)"/>
    <k n="Currency" t="s"/>
    <k n="Description" t="s"/>
    <k n="Employees"/>
    <k n="Exchange" t="s"/>
    <k n="Exchange abbreviation" t="s"/>
    <k n="ExchangeID" t="s"/>
    <k n="Headquarters" t="s"/>
    <k n="High"/>
    <k n="Industry" t="s"/>
    <k n="Instrument type" t="s"/>
    <k n="Last trade time"/>
    <k n="LearnMoreOnLink" t="r"/>
    <k n="Low"/>
    <k n="Market cap"/>
    <k n="Name" t="s"/>
    <k n="Official name" t="s"/>
    <k n="Open"/>
    <k n="P/E"/>
    <k n="Previous close"/>
    <k n="Price"/>
    <k n="Price (Extended hours)"/>
    <k n="Shares outstanding"/>
    <k n="Ticker symbol" t="s"/>
    <k n="UniqueName" t="s"/>
    <k n="Volume"/>
    <k n="Volume average"/>
    <k n="Year incorporated"/>
  </s>
  <s t="_sourceattribution">
    <k n="License" t="r"/>
    <k n="Source" t="r"/>
  </s>
  <s t="_imageurl">
    <k n="_Provider" t="spb"/>
    <k n="Address" t="s"/>
    <k n="Attribution" t="r"/>
    <k n="ComputedImage" t="b"/>
    <k n="More Images Address" t="s"/>
    <k n="Text" t="s"/>
  </s>
  <s t="_linkedentitycore">
    <k n="%EntityCulture" t="s"/>
    <k n="%EntityId" t="s"/>
    <k n="%EntityServiceId"/>
    <k n="%IsRefreshable" t="b"/>
    <k n="%ProviderInfo" t="s"/>
    <k n="_Display" t="spb"/>
    <k n="_DisplayString" t="s"/>
    <k n="_Flags" t="spb"/>
    <k n="_Format" t="spb"/>
    <k n="_Icon" t="s"/>
    <k n="_SubLabel" t="spb"/>
    <k n="52 week high"/>
    <k n="52 week low"/>
    <k n="Beta"/>
    <k n="Change"/>
    <k n="Change % (Extended hours)"/>
    <k n="Change (%)"/>
    <k n="Change (Extended hours)"/>
    <k n="Currency" t="s"/>
    <k n="Description" t="s"/>
    <k n="Employees"/>
    <k n="Exchange" t="s"/>
    <k n="Exchange abbreviation" t="s"/>
    <k n="ExchangeID" t="s"/>
    <k n="Headquarters" t="s"/>
    <k n="High"/>
    <k n="Image" t="r"/>
    <k n="Industry" t="s"/>
    <k n="Instrument type" t="s"/>
    <k n="Last trade time"/>
    <k n="LearnMoreOnLink" t="r"/>
    <k n="Low"/>
    <k n="Market cap"/>
    <k n="Name" t="s"/>
    <k n="Official name" t="s"/>
    <k n="Open"/>
    <k n="P/E"/>
    <k n="Previous close"/>
    <k n="Price"/>
    <k n="Price (Extended hours)"/>
    <k n="Shares outstanding"/>
    <k n="Ticker symbol" t="s"/>
    <k n="UniqueName" t="s"/>
    <k n="Volume"/>
    <k n="Volume average"/>
    <k n="Year incorporated"/>
  </s>
  <s t="_linkedentitycore">
    <k n="%EntityCulture" t="s"/>
    <k n="%EntityId" t="s"/>
    <k n="%EntityServiceId"/>
    <k n="%IsRefreshable" t="b"/>
    <k n="%ProviderInfo" t="s"/>
    <k n="_Display" t="spb"/>
    <k n="_DisplayString" t="s"/>
    <k n="_Flags" t="spb"/>
    <k n="_Format" t="spb"/>
    <k n="_Icon" t="s"/>
    <k n="_SubLabel" t="spb"/>
    <k n="52 week high"/>
    <k n="52 week low"/>
    <k n="Beta"/>
    <k n="Change"/>
    <k n="Change (%)"/>
    <k n="Currency" t="s"/>
    <k n="Exchange" t="s"/>
    <k n="Exchange abbreviation" t="s"/>
    <k n="Expense ratio"/>
    <k n="High"/>
    <k n="Instrument type" t="s"/>
    <k n="Last trade time"/>
    <k n="LearnMoreOnLink" t="r"/>
    <k n="Low"/>
    <k n="Market cap"/>
    <k n="Name" t="s"/>
    <k n="Open"/>
    <k n="Previous close"/>
    <k n="Price"/>
    <k n="Ticker symbol" t="s"/>
    <k n="UniqueName" t="s"/>
    <k n="Volume"/>
    <k n="Volume average"/>
  </s>
  <s t="_linkedentitycore">
    <k n="%EntityCulture" t="s"/>
    <k n="%EntityId" t="s"/>
    <k n="%EntityServiceId"/>
    <k n="%IsRefreshable" t="b"/>
    <k n="%ProviderInfo" t="s"/>
    <k n="_Display" t="spb"/>
    <k n="_DisplayString" t="s"/>
    <k n="_Flags" t="spb"/>
    <k n="_Format" t="spb"/>
    <k n="_Icon" t="s"/>
    <k n="_SubLabel" t="spb"/>
    <k n="52 week high"/>
    <k n="52 week low"/>
    <k n="Change"/>
    <k n="Change % (Extended hours)"/>
    <k n="Change (%)"/>
    <k n="Change (Extended hours)"/>
    <k n="Currency" t="s"/>
    <k n="Exchange" t="s"/>
    <k n="Exchange abbreviation" t="s"/>
    <k n="High"/>
    <k n="Instrument type" t="s"/>
    <k n="Last trade time"/>
    <k n="LearnMoreOnLink" t="r"/>
    <k n="Low"/>
    <k n="Name" t="s"/>
    <k n="Open"/>
    <k n="Previous close"/>
    <k n="Price"/>
    <k n="Price (Extended hours)"/>
    <k n="Ticker symbol" t="s"/>
    <k n="UniqueName" t="s"/>
    <k n="Volume"/>
    <k n="Volume average"/>
  </s>
  <s t="_linkedentitycore">
    <k n="%EntityCulture" t="s"/>
    <k n="%EntityId" t="s"/>
    <k n="%EntityServiceId"/>
    <k n="%IsRefreshable" t="b"/>
    <k n="%ProviderInfo" t="s"/>
    <k n="_Display" t="spb"/>
    <k n="_DisplayString" t="s"/>
    <k n="_Flags" t="spb"/>
    <k n="_Format" t="spb"/>
    <k n="_Icon" t="s"/>
    <k n="_SubLabel" t="spb"/>
    <k n="52 week high"/>
    <k n="52 week low"/>
    <k n="Change"/>
    <k n="Change % (Extended hours)"/>
    <k n="Change (%)"/>
    <k n="Change (Extended hours)"/>
    <k n="Currency" t="s"/>
    <k n="Description" t="s"/>
    <k n="Exchange" t="s"/>
    <k n="Exchange abbreviation" t="s"/>
    <k n="ExchangeID" t="s"/>
    <k n="Headquarters" t="s"/>
    <k n="High"/>
    <k n="Industry" t="s"/>
    <k n="Instrument type" t="s"/>
    <k n="Last trade time"/>
    <k n="Low"/>
    <k n="Name" t="s"/>
    <k n="Official name" t="s"/>
    <k n="Open"/>
    <k n="P/E"/>
    <k n="Previous close"/>
    <k n="Price"/>
    <k n="Price (Extended hours)"/>
    <k n="Shares outstanding"/>
    <k n="Ticker symbol" t="s"/>
    <k n="UniqueName" t="s"/>
    <k n="Volume"/>
    <k n="Volume average"/>
    <k n="Year incorporated"/>
  </s>
  <s t="_linkedentitycore">
    <k n="%EntityCulture" t="s"/>
    <k n="%EntityId" t="s"/>
    <k n="%EntityServiceId"/>
    <k n="%IsRefreshable" t="b"/>
    <k n="%ProviderInfo" t="s"/>
    <k n="_Display" t="spb"/>
    <k n="_DisplayString" t="s"/>
    <k n="_Flags" t="spb"/>
    <k n="_Format" t="spb"/>
    <k n="_Icon" t="s"/>
    <k n="_SubLabel" t="spb"/>
    <k n="52 week high"/>
    <k n="52 week low"/>
    <k n="Beta"/>
    <k n="Change"/>
    <k n="Change % (Extended hours)"/>
    <k n="Change (%)"/>
    <k n="Change (Extended hours)"/>
    <k n="Currency" t="s"/>
    <k n="Description" t="s"/>
    <k n="Employees"/>
    <k n="Exchange" t="s"/>
    <k n="Exchange abbreviation" t="s"/>
    <k n="ExchangeID" t="s"/>
    <k n="Headquarters" t="s"/>
    <k n="High"/>
    <k n="Industry" t="s"/>
    <k n="Instrument type" t="s"/>
    <k n="Last trade time"/>
    <k n="LearnMoreOnLink" t="r"/>
    <k n="Low"/>
    <k n="Market cap"/>
    <k n="Name" t="s"/>
    <k n="Official name" t="s"/>
    <k n="Open"/>
    <k n="Previous close"/>
    <k n="Price"/>
    <k n="Price (Extended hours)"/>
    <k n="Shares outstanding"/>
    <k n="Ticker symbol" t="s"/>
    <k n="UniqueName" t="s"/>
    <k n="Volume"/>
    <k n="Volume average"/>
    <k n="Year incorporated"/>
  </s>
</rvStructures>
</file>

<file path=xl/richData/rdsupportingpropertybag.xml><?xml version="1.0" encoding="utf-8"?>
<supportingPropertyBags xmlns="http://schemas.microsoft.com/office/spreadsheetml/2017/richdata2">
  <spbArrays count="11">
    <a count="37">
      <v t="s">%EntityServiceId</v>
      <v t="s">_Format</v>
      <v t="s">%IsRefreshable</v>
      <v t="s">%EntityCulture</v>
      <v t="s">%EntityId</v>
      <v t="s">_Icon</v>
      <v t="s">_Display</v>
      <v t="s">Name</v>
      <v t="s">_SubLabel</v>
      <v t="s">Price</v>
      <v t="s">Price (Extended hours)</v>
      <v t="s">Exchange</v>
      <v t="s">Last trade time</v>
      <v t="s">Ticker symbol</v>
      <v t="s">Exchange abbreviation</v>
      <v t="s">Change</v>
      <v t="s">Change (Extended hours)</v>
      <v t="s">Expense ratio</v>
      <v t="s">Change (%)</v>
      <v t="s">Change % (Extended hours)</v>
      <v t="s">Currency</v>
      <v t="s">Previous close</v>
      <v t="s">Open</v>
      <v t="s">High</v>
      <v t="s">Low</v>
      <v t="s">52 week high</v>
      <v t="s">52 week low</v>
      <v t="s">Volume</v>
      <v t="s">Volume average</v>
      <v t="s">Market cap</v>
      <v t="s">Beta</v>
      <v t="s">Instrument type</v>
      <v t="s">_Flags</v>
      <v t="s">UniqueName</v>
      <v t="s">_DisplayString</v>
      <v t="s">LearnMoreOnLink</v>
      <v t="s">%ProviderInfo</v>
    </a>
    <a count="35">
      <v t="s">%EntityServiceId</v>
      <v t="s">_Format</v>
      <v t="s">%IsRefreshable</v>
      <v t="s">%EntityCulture</v>
      <v t="s">%EntityId</v>
      <v t="s">_Icon</v>
      <v t="s">_Display</v>
      <v t="s">Name</v>
      <v t="s">_SubLabel</v>
      <v t="s">Price</v>
      <v t="s">Price (Extended hours)</v>
      <v t="s">Exchange</v>
      <v t="s">Last trade time</v>
      <v t="s">Ticker symbol</v>
      <v t="s">Exchange abbreviation</v>
      <v t="s">Change</v>
      <v t="s">Change (Extended hours)</v>
      <v t="s">Expense ratio</v>
      <v t="s">Change (%)</v>
      <v t="s">Change % (Extended hours)</v>
      <v t="s">Currency</v>
      <v t="s">Previous close</v>
      <v t="s">Open</v>
      <v t="s">High</v>
      <v t="s">Low</v>
      <v t="s">52 week high</v>
      <v t="s">52 week low</v>
      <v t="s">Volume</v>
      <v t="s">Volume average</v>
      <v t="s">Market cap</v>
      <v t="s">Instrument type</v>
      <v t="s">_Flags</v>
      <v t="s">UniqueName</v>
      <v t="s">_DisplayString</v>
      <v t="s">%ProviderInfo</v>
    </a>
    <a count="26">
      <v t="s">%EntityServiceId</v>
      <v t="s">_Format</v>
      <v t="s">%IsRefreshable</v>
      <v t="s">%EntityCulture</v>
      <v t="s">%EntityId</v>
      <v t="s">_Icon</v>
      <v t="s">_Display</v>
      <v t="s">Name</v>
      <v t="s">Price</v>
      <v t="s">Ticker symbol</v>
      <v t="s">_SubLabel</v>
      <v t="s">Change</v>
      <v t="s">Change (%)</v>
      <v t="s">Country/region</v>
      <v t="s">Previous close</v>
      <v t="s">Open</v>
      <v t="s">High</v>
      <v t="s">Low</v>
      <v t="s">52 week high</v>
      <v t="s">52 week low</v>
      <v t="s">Instrument type</v>
      <v t="s">_Flags</v>
      <v t="s">UniqueName</v>
      <v t="s">_DisplayString</v>
      <v t="s">LearnMoreOnLink</v>
      <v t="s">%ProviderInfo</v>
    </a>
    <a count="36">
      <v t="s">%EntityServiceId</v>
      <v t="s">_Format</v>
      <v t="s">%IsRefreshable</v>
      <v t="s">%EntityCulture</v>
      <v t="s">%EntityId</v>
      <v t="s">_Icon</v>
      <v t="s">_Display</v>
      <v t="s">Name</v>
      <v t="s">_SubLabel</v>
      <v t="s">Price</v>
      <v t="s">Price (Extended hours)</v>
      <v t="s">Exchange</v>
      <v t="s">Last trade time</v>
      <v t="s">Ticker symbol</v>
      <v t="s">Exchange abbreviation</v>
      <v t="s">Change</v>
      <v t="s">Change (Extended hours)</v>
      <v t="s">Expense ratio</v>
      <v t="s">Change (%)</v>
      <v t="s">Change % (Extended hours)</v>
      <v t="s">Currency</v>
      <v t="s">Previous close</v>
      <v t="s">Open</v>
      <v t="s">High</v>
      <v t="s">Low</v>
      <v t="s">52 week high</v>
      <v t="s">52 week low</v>
      <v t="s">Volume</v>
      <v t="s">Volume average</v>
      <v t="s">Market cap</v>
      <v t="s">Beta</v>
      <v t="s">Instrument type</v>
      <v t="s">_Flags</v>
      <v t="s">UniqueName</v>
      <v t="s">_DisplayString</v>
      <v t="s">%ProviderInfo</v>
    </a>
    <a count="38">
      <v t="s">%EntityServiceId</v>
      <v t="s">_Format</v>
      <v t="s">%IsRefreshable</v>
      <v t="s">%EntityCulture</v>
      <v t="s">%EntityId</v>
      <v t="s">_Icon</v>
      <v t="s">_Display</v>
      <v t="s">Name</v>
      <v t="s">_SubLabel</v>
      <v t="s">Price</v>
      <v t="s">Price (Extended hours)</v>
      <v t="s">Exchange</v>
      <v t="s">Last trade time</v>
      <v t="s">Ticker symbol</v>
      <v t="s">Exchange abbreviation</v>
      <v t="s">Change</v>
      <v t="s">Change (Extended hours)</v>
      <v t="s">Expense ratio</v>
      <v t="s">Change (%)</v>
      <v t="s">Change % (Extended hours)</v>
      <v t="s">Currency</v>
      <v t="s">Previous close</v>
      <v t="s">Open</v>
      <v t="s">High</v>
      <v t="s">Low</v>
      <v t="s">52 week high</v>
      <v t="s">52 week low</v>
      <v t="s">Volume</v>
      <v t="s">Volume average</v>
      <v t="s">Market cap</v>
      <v t="s">Beta</v>
      <v t="s">Instrument type</v>
      <v t="s">_Flags</v>
      <v t="s">UniqueName</v>
      <v t="s">_DisplayString</v>
      <v t="s">LearnMoreOnLink</v>
      <v t="s">%ProviderInfo</v>
      <v t="s">%OutdatedReason</v>
    </a>
    <a count="45">
      <v t="s">%EntityServiceId</v>
      <v t="s">_Format</v>
      <v t="s">%IsRefreshable</v>
      <v t="s">%EntityCulture</v>
      <v t="s">%EntityId</v>
      <v t="s">_Icon</v>
      <v t="s">_Display</v>
      <v t="s">Name</v>
      <v t="s">_SubLabel</v>
      <v t="s">Price</v>
      <v t="s">Price (Extended hours)</v>
      <v t="s">Exchange</v>
      <v t="s">Official name</v>
      <v t="s">Last trade time</v>
      <v t="s">Ticker symbol</v>
      <v t="s">Exchange abbreviation</v>
      <v t="s">Change</v>
      <v t="s">Change (Extended hours)</v>
      <v t="s">Change (%)</v>
      <v t="s">Change % (Extended hours)</v>
      <v t="s">Currency</v>
      <v t="s">Previous close</v>
      <v t="s">Open</v>
      <v t="s">High</v>
      <v t="s">Low</v>
      <v t="s">52 week high</v>
      <v t="s">52 week low</v>
      <v t="s">Volume</v>
      <v t="s">Volume average</v>
      <v t="s">Market cap</v>
      <v t="s">Beta</v>
      <v t="s">P/E</v>
      <v t="s">Shares outstanding</v>
      <v t="s">Description</v>
      <v t="s">Employees</v>
      <v t="s">Headquarters</v>
      <v t="s">Industry</v>
      <v t="s">Instrument type</v>
      <v t="s">Year incorporated</v>
      <v t="s">_Flags</v>
      <v t="s">UniqueName</v>
      <v t="s">_DisplayString</v>
      <v t="s">LearnMoreOnLink</v>
      <v t="s">ExchangeID</v>
      <v t="s">%ProviderInfo</v>
    </a>
    <a count="46">
      <v t="s">%EntityServiceId</v>
      <v t="s">_Format</v>
      <v t="s">%IsRefreshable</v>
      <v t="s">%EntityCulture</v>
      <v t="s">%EntityId</v>
      <v t="s">_Icon</v>
      <v t="s">_Display</v>
      <v t="s">Name</v>
      <v t="s">_SubLabel</v>
      <v t="s">Price</v>
      <v t="s">Price (Extended hours)</v>
      <v t="s">Exchange</v>
      <v t="s">Official name</v>
      <v t="s">Last trade time</v>
      <v t="s">Ticker symbol</v>
      <v t="s">Exchange abbreviation</v>
      <v t="s">Change</v>
      <v t="s">Change (Extended hours)</v>
      <v t="s">Change (%)</v>
      <v t="s">Change % (Extended hours)</v>
      <v t="s">Currency</v>
      <v t="s">Previous close</v>
      <v t="s">Open</v>
      <v t="s">High</v>
      <v t="s">Low</v>
      <v t="s">52 week high</v>
      <v t="s">52 week low</v>
      <v t="s">Volume</v>
      <v t="s">Volume average</v>
      <v t="s">Market cap</v>
      <v t="s">Beta</v>
      <v t="s">P/E</v>
      <v t="s">Shares outstanding</v>
      <v t="s">Description</v>
      <v t="s">Employees</v>
      <v t="s">Headquarters</v>
      <v t="s">Industry</v>
      <v t="s">Instrument type</v>
      <v t="s">Year incorporated</v>
      <v t="s">_Flags</v>
      <v t="s">UniqueName</v>
      <v t="s">_DisplayString</v>
      <v t="s">LearnMoreOnLink</v>
      <v t="s">Image</v>
      <v t="s">ExchangeID</v>
      <v t="s">%ProviderInfo</v>
    </a>
    <a count="34">
      <v t="s">%EntityServiceId</v>
      <v t="s">_Format</v>
      <v t="s">%IsRefreshable</v>
      <v t="s">%EntityCulture</v>
      <v t="s">%EntityId</v>
      <v t="s">_Icon</v>
      <v t="s">_Display</v>
      <v t="s">Name</v>
      <v t="s">_SubLabel</v>
      <v t="s">Price</v>
      <v t="s">Exchange</v>
      <v t="s">Last trade time</v>
      <v t="s">Ticker symbol</v>
      <v t="s">Exchange abbreviation</v>
      <v t="s">Change</v>
      <v t="s">Expense ratio</v>
      <v t="s">Change (%)</v>
      <v t="s">Currency</v>
      <v t="s">Previous close</v>
      <v t="s">Open</v>
      <v t="s">High</v>
      <v t="s">Low</v>
      <v t="s">52 week high</v>
      <v t="s">52 week low</v>
      <v t="s">Volume</v>
      <v t="s">Volume average</v>
      <v t="s">Market cap</v>
      <v t="s">Beta</v>
      <v t="s">Instrument type</v>
      <v t="s">_Flags</v>
      <v t="s">UniqueName</v>
      <v t="s">_DisplayString</v>
      <v t="s">LearnMoreOnLink</v>
      <v t="s">%ProviderInfo</v>
    </a>
    <a count="34">
      <v t="s">%EntityServiceId</v>
      <v t="s">_Format</v>
      <v t="s">%IsRefreshable</v>
      <v t="s">%EntityCulture</v>
      <v t="s">%EntityId</v>
      <v t="s">_Icon</v>
      <v t="s">_Display</v>
      <v t="s">Name</v>
      <v t="s">_SubLabel</v>
      <v t="s">Price</v>
      <v t="s">Price (Extended hours)</v>
      <v t="s">Exchange</v>
      <v t="s">Last trade time</v>
      <v t="s">Ticker symbol</v>
      <v t="s">Exchange abbreviation</v>
      <v t="s">Change</v>
      <v t="s">Change (Extended hours)</v>
      <v t="s">Change (%)</v>
      <v t="s">Change % (Extended hours)</v>
      <v t="s">Currency</v>
      <v t="s">Previous close</v>
      <v t="s">Open</v>
      <v t="s">High</v>
      <v t="s">Low</v>
      <v t="s">52 week high</v>
      <v t="s">52 week low</v>
      <v t="s">Volume</v>
      <v t="s">Volume average</v>
      <v t="s">Instrument type</v>
      <v t="s">_Flags</v>
      <v t="s">UniqueName</v>
      <v t="s">_DisplayString</v>
      <v t="s">LearnMoreOnLink</v>
      <v t="s">%ProviderInfo</v>
    </a>
    <a count="41">
      <v t="s">%EntityServiceId</v>
      <v t="s">_Format</v>
      <v t="s">%IsRefreshable</v>
      <v t="s">%EntityCulture</v>
      <v t="s">%EntityId</v>
      <v t="s">_Icon</v>
      <v t="s">_Display</v>
      <v t="s">Name</v>
      <v t="s">_SubLabel</v>
      <v t="s">Price</v>
      <v t="s">Price (Extended hours)</v>
      <v t="s">Exchange</v>
      <v t="s">Official name</v>
      <v t="s">Last trade time</v>
      <v t="s">Ticker symbol</v>
      <v t="s">Exchange abbreviation</v>
      <v t="s">Change</v>
      <v t="s">Change (Extended hours)</v>
      <v t="s">Change (%)</v>
      <v t="s">Change % (Extended hours)</v>
      <v t="s">Currency</v>
      <v t="s">Previous close</v>
      <v t="s">Open</v>
      <v t="s">High</v>
      <v t="s">Low</v>
      <v t="s">52 week high</v>
      <v t="s">52 week low</v>
      <v t="s">Volume</v>
      <v t="s">Volume average</v>
      <v t="s">P/E</v>
      <v t="s">Shares outstanding</v>
      <v t="s">Description</v>
      <v t="s">Headquarters</v>
      <v t="s">Industry</v>
      <v t="s">Instrument type</v>
      <v t="s">Year incorporated</v>
      <v t="s">_Flags</v>
      <v t="s">UniqueName</v>
      <v t="s">_DisplayString</v>
      <v t="s">ExchangeID</v>
      <v t="s">%ProviderInfo</v>
    </a>
    <a count="44">
      <v t="s">%EntityServiceId</v>
      <v t="s">_Format</v>
      <v t="s">%IsRefreshable</v>
      <v t="s">%EntityCulture</v>
      <v t="s">%EntityId</v>
      <v t="s">_Icon</v>
      <v t="s">_Display</v>
      <v t="s">Name</v>
      <v t="s">_SubLabel</v>
      <v t="s">Price</v>
      <v t="s">Price (Extended hours)</v>
      <v t="s">Exchange</v>
      <v t="s">Official name</v>
      <v t="s">Last trade time</v>
      <v t="s">Ticker symbol</v>
      <v t="s">Exchange abbreviation</v>
      <v t="s">Change</v>
      <v t="s">Change (Extended hours)</v>
      <v t="s">Change (%)</v>
      <v t="s">Change % (Extended hours)</v>
      <v t="s">Currency</v>
      <v t="s">Previous close</v>
      <v t="s">Open</v>
      <v t="s">High</v>
      <v t="s">Low</v>
      <v t="s">52 week high</v>
      <v t="s">52 week low</v>
      <v t="s">Volume</v>
      <v t="s">Volume average</v>
      <v t="s">Market cap</v>
      <v t="s">Beta</v>
      <v t="s">Shares outstanding</v>
      <v t="s">Description</v>
      <v t="s">Employees</v>
      <v t="s">Headquarters</v>
      <v t="s">Industry</v>
      <v t="s">Instrument type</v>
      <v t="s">Year incorporated</v>
      <v t="s">_Flags</v>
      <v t="s">UniqueName</v>
      <v t="s">_DisplayString</v>
      <v t="s">LearnMoreOnLink</v>
      <v t="s">ExchangeID</v>
      <v t="s">%ProviderInfo</v>
    </a>
  </spbArrays>
  <spbData count="35">
    <spb s="0">
      <v>0</v>
      <v>Name</v>
      <v>LearnMoreOnLink</v>
    </spb>
    <spb s="1">
      <v>0</v>
      <v>0</v>
      <v>0</v>
    </spb>
    <spb s="2">
      <v>1</v>
      <v>1</v>
      <v>1</v>
    </spb>
    <spb s="3">
      <v>1</v>
      <v>2</v>
      <v>1</v>
      <v>3</v>
      <v>1</v>
      <v>1</v>
      <v>1</v>
      <v>4</v>
      <v>5</v>
      <v>6</v>
      <v>1</v>
      <v>1</v>
      <v>5</v>
      <v>1</v>
      <v>4</v>
      <v>7</v>
      <v>8</v>
      <v>1</v>
      <v>1</v>
      <v>5</v>
    </spb>
    <spb s="4">
      <v>at close</v>
      <v>from previous close</v>
      <v>Source: Nasdaq</v>
      <v>from previous close</v>
      <v>GMT</v>
      <v>Delayed 15 minutes</v>
      <v>from close</v>
      <v>from close</v>
    </spb>
    <spb s="5">
      <v>1</v>
      <v>Name</v>
    </spb>
    <spb s="6">
      <v>1</v>
      <v>1</v>
    </spb>
    <spb s="7">
      <v>1</v>
      <v>1</v>
      <v>3</v>
      <v>1</v>
      <v>1</v>
      <v>1</v>
      <v>4</v>
      <v>5</v>
      <v>6</v>
      <v>1</v>
      <v>1</v>
      <v>5</v>
      <v>1</v>
      <v>4</v>
      <v>7</v>
      <v>8</v>
      <v>1</v>
      <v>1</v>
      <v>5</v>
    </spb>
    <spb s="0">
      <v>2</v>
      <v>Name</v>
      <v>LearnMoreOnLink</v>
    </spb>
    <spb s="8">
      <v>1</v>
      <v>1</v>
      <v>3</v>
      <v>1</v>
      <v>1</v>
      <v>1</v>
      <v>5</v>
      <v>1</v>
      <v>1</v>
      <v>1</v>
      <v>8</v>
    </spb>
    <spb s="9">
      <v>from previous close</v>
      <v>from previous close</v>
    </spb>
    <spb s="4">
      <v>at close</v>
      <v>from previous close</v>
      <v>Source: Nasdaq Last Sale</v>
      <v>from previous close</v>
      <v>GMT</v>
      <v>Real-Time Nasdaq Last Sale</v>
      <v>from close</v>
      <v>from close</v>
    </spb>
    <spb s="5">
      <v>3</v>
      <v>Name</v>
    </spb>
    <spb s="0">
      <v>4</v>
      <v>Name</v>
      <v>LearnMoreOnLink</v>
    </spb>
    <spb s="0">
      <v>5</v>
      <v>Name</v>
      <v>LearnMoreOnLink</v>
    </spb>
    <spb s="10">
      <v>1</v>
      <v>1</v>
      <v>1</v>
      <v>1</v>
    </spb>
    <spb s="11">
      <v>1</v>
      <v>2</v>
      <v>2</v>
      <v>1</v>
      <v>3</v>
      <v>1</v>
      <v>1</v>
      <v>1</v>
      <v>4</v>
      <v>4</v>
      <v>5</v>
      <v>6</v>
      <v>1</v>
      <v>1</v>
      <v>1</v>
      <v>4</v>
      <v>7</v>
      <v>9</v>
      <v>8</v>
      <v>4</v>
      <v>1</v>
      <v>1</v>
      <v>5</v>
    </spb>
    <spb s="12">
      <v>at close</v>
      <v>from previous close</v>
      <v>from previous close</v>
      <v>Source: Nasdaq</v>
      <v>GMT</v>
      <v>Delayed 15 minutes</v>
      <v>from close</v>
      <v>from close</v>
    </spb>
    <spb s="0">
      <v>6</v>
      <v>Name</v>
      <v>LearnMoreOnLink</v>
    </spb>
    <spb s="13">
      <v>0</v>
      <v>0</v>
    </spb>
    <spb s="14">
      <v>19</v>
      <v>1</v>
      <v>1</v>
      <v>1</v>
      <v>1</v>
    </spb>
    <spb s="15">
      <v>1</v>
      <v>2</v>
      <v>2</v>
      <v>1</v>
      <v>3</v>
      <v>1</v>
      <v>10</v>
      <v>1</v>
      <v>1</v>
      <v>4</v>
      <v>4</v>
      <v>5</v>
      <v>6</v>
      <v>1</v>
      <v>1</v>
      <v>1</v>
      <v>4</v>
      <v>7</v>
      <v>9</v>
      <v>8</v>
      <v>4</v>
      <v>1</v>
      <v>1</v>
      <v>5</v>
    </spb>
    <spb s="16">
      <v>Powered by Refinitiv</v>
    </spb>
    <spb s="0">
      <v>7</v>
      <v>Name</v>
      <v>LearnMoreOnLink</v>
    </spb>
    <spb s="17">
      <v>1</v>
      <v>2</v>
      <v>1</v>
      <v>3</v>
      <v>1</v>
      <v>1</v>
      <v>1</v>
      <v>4</v>
      <v>5</v>
      <v>6</v>
      <v>1</v>
      <v>1</v>
      <v>5</v>
      <v>1</v>
      <v>4</v>
      <v>7</v>
      <v>8</v>
    </spb>
    <spb s="18">
      <v>Real-Time Nasdaq Last Sale</v>
      <v>from previous close</v>
      <v>Source: Nasdaq Last Sale</v>
      <v>from previous close</v>
      <v>GMT</v>
    </spb>
    <spb s="11">
      <v>11</v>
      <v>2</v>
      <v>2</v>
      <v>11</v>
      <v>3</v>
      <v>11</v>
      <v>11</v>
      <v>11</v>
      <v>4</v>
      <v>4</v>
      <v>5</v>
      <v>12</v>
      <v>11</v>
      <v>11</v>
      <v>11</v>
      <v>4</v>
      <v>7</v>
      <v>9</v>
      <v>8</v>
      <v>4</v>
      <v>11</v>
      <v>11</v>
      <v>5</v>
    </spb>
    <spb s="19">
      <v>at close</v>
      <v>from previous close</v>
      <v>from previous close</v>
      <v>GMT</v>
      <v>Delayed 20 minutes</v>
      <v>from close</v>
      <v>from close</v>
    </spb>
    <spb s="0">
      <v>8</v>
      <v>Name</v>
      <v>LearnMoreOnLink</v>
    </spb>
    <spb s="20">
      <v>1</v>
      <v>1</v>
      <v>3</v>
      <v>1</v>
      <v>1</v>
      <v>1</v>
      <v>4</v>
      <v>5</v>
      <v>1</v>
      <v>1</v>
      <v>1</v>
      <v>4</v>
      <v>7</v>
      <v>8</v>
      <v>1</v>
      <v>1</v>
      <v>5</v>
    </spb>
    <spb s="5">
      <v>9</v>
      <v>Name</v>
    </spb>
    <spb s="21">
      <v>1</v>
      <v>1</v>
      <v>1</v>
    </spb>
    <spb s="22">
      <v>1</v>
      <v>2</v>
      <v>1</v>
      <v>3</v>
      <v>1</v>
      <v>1</v>
      <v>1</v>
      <v>4</v>
      <v>5</v>
      <v>1</v>
      <v>1</v>
      <v>1</v>
      <v>4</v>
      <v>7</v>
      <v>9</v>
      <v>8</v>
      <v>4</v>
      <v>1</v>
      <v>1</v>
      <v>5</v>
    </spb>
    <spb s="0">
      <v>10</v>
      <v>Name</v>
      <v>LearnMoreOnLink</v>
    </spb>
    <spb s="23">
      <v>1</v>
      <v>2</v>
      <v>1</v>
      <v>3</v>
      <v>1</v>
      <v>1</v>
      <v>1</v>
      <v>4</v>
      <v>4</v>
      <v>5</v>
      <v>12</v>
      <v>1</v>
      <v>1</v>
      <v>1</v>
      <v>4</v>
      <v>7</v>
      <v>9</v>
      <v>8</v>
      <v>4</v>
      <v>1</v>
      <v>1</v>
      <v>5</v>
    </spb>
  </spbData>
</supportingPropertyBags>
</file>

<file path=xl/richData/rdsupportingpropertybagstructure.xml><?xml version="1.0" encoding="utf-8"?>
<spbStructures xmlns="http://schemas.microsoft.com/office/spreadsheetml/2017/richdata2" count="24">
  <s>
    <k n="^Order" t="spba"/>
    <k n="TitleProperty" t="s"/>
    <k n="SubTitleProperty" t="s"/>
  </s>
  <s>
    <k n="ShowInCardView" t="b"/>
    <k n="ShowInDotNotation" t="b"/>
    <k n="ShowInAutoComplete" t="b"/>
  </s>
  <s>
    <k n="UniqueName" t="spb"/>
    <k n="`%ProviderInfo" t="spb"/>
    <k n="LearnMoreOnLink" t="spb"/>
  </s>
  <s>
    <k n="Low" t="i"/>
    <k n="Beta" t="i"/>
    <k n="High" t="i"/>
    <k n="Name" t="i"/>
    <k n="Open" t="i"/>
    <k n="Price" t="i"/>
    <k n="Change" t="i"/>
    <k n="Volume" t="i"/>
    <k n="Change (%)" t="i"/>
    <k n="Market cap" t="i"/>
    <k n="52 week low" t="i"/>
    <k n="52 week high" t="i"/>
    <k n="Expense ratio" t="i"/>
    <k n="Previous close" t="i"/>
    <k n="Volume average" t="i"/>
    <k n="Last trade time" t="i"/>
    <k n="`%EntityServiceId" t="i"/>
    <k n="Price (Extended hours)" t="i"/>
    <k n="Change (Extended hours)" t="i"/>
    <k n="Change % (Extended hours)" t="i"/>
  </s>
  <s>
    <k n="Price" t="s"/>
    <k n="Change" t="s"/>
    <k n="Exchange" t="s"/>
    <k n="Change (%)" t="s"/>
    <k n="Last trade time" t="s"/>
    <k n="Price (Extended hours)" t="s"/>
    <k n="Change (Extended hours)" t="s"/>
    <k n="Change % (Extended hours)" t="s"/>
  </s>
  <s>
    <k n="^Order" t="spba"/>
    <k n="TitleProperty" t="s"/>
  </s>
  <s>
    <k n="UniqueName" t="spb"/>
    <k n="`%ProviderInfo" t="spb"/>
  </s>
  <s>
    <k n="Low" t="i"/>
    <k n="High" t="i"/>
    <k n="Name" t="i"/>
    <k n="Open" t="i"/>
    <k n="Price" t="i"/>
    <k n="Change" t="i"/>
    <k n="Volume" t="i"/>
    <k n="Change (%)" t="i"/>
    <k n="Market cap" t="i"/>
    <k n="52 week low" t="i"/>
    <k n="52 week high" t="i"/>
    <k n="Expense ratio" t="i"/>
    <k n="Previous close" t="i"/>
    <k n="Volume average" t="i"/>
    <k n="Last trade time" t="i"/>
    <k n="`%EntityServiceId" t="i"/>
    <k n="Price (Extended hours)" t="i"/>
    <k n="Change (Extended hours)" t="i"/>
    <k n="Change % (Extended hours)" t="i"/>
  </s>
  <s>
    <k n="Low" t="i"/>
    <k n="High" t="i"/>
    <k n="Name" t="i"/>
    <k n="Open" t="i"/>
    <k n="Price" t="i"/>
    <k n="Change" t="i"/>
    <k n="Change (%)" t="i"/>
    <k n="52 week low" t="i"/>
    <k n="52 week high" t="i"/>
    <k n="Previous close" t="i"/>
    <k n="`%EntityServiceId" t="i"/>
  </s>
  <s>
    <k n="Change" t="s"/>
    <k n="Change (%)" t="s"/>
  </s>
  <s>
    <k n="ExchangeID" t="spb"/>
    <k n="UniqueName" t="spb"/>
    <k n="`%ProviderInfo" t="spb"/>
    <k n="LearnMoreOnLink" t="spb"/>
  </s>
  <s>
    <k n="Low" t="i"/>
    <k n="P/E" t="i"/>
    <k n="Beta" t="i"/>
    <k n="High" t="i"/>
    <k n="Name" t="i"/>
    <k n="Open" t="i"/>
    <k n="Price" t="i"/>
    <k n="Change" t="i"/>
    <k n="Volume" t="i"/>
    <k n="Employees" t="i"/>
    <k n="Change (%)" t="i"/>
    <k n="Market cap" t="i"/>
    <k n="52 week low" t="i"/>
    <k n="52 week high" t="i"/>
    <k n="Previous close" t="i"/>
    <k n="Volume average" t="i"/>
    <k n="Last trade time" t="i"/>
    <k n="Year incorporated" t="i"/>
    <k n="`%EntityServiceId" t="i"/>
    <k n="Shares outstanding" t="i"/>
    <k n="Price (Extended hours)" t="i"/>
    <k n="Change (Extended hours)" t="i"/>
    <k n="Change % (Extended hours)" t="i"/>
  </s>
  <s>
    <k n="Price" t="s"/>
    <k n="Change" t="s"/>
    <k n="Change (%)" t="s"/>
    <k n="ExchangeID" t="s"/>
    <k n="Last trade time" t="s"/>
    <k n="Price (Extended hours)" t="s"/>
    <k n="Change (Extended hours)" t="s"/>
    <k n="Change % (Extended hours)" t="s"/>
  </s>
  <s>
    <k n="ShowInDotNotation" t="b"/>
    <k n="ShowInAutoComplete" t="b"/>
  </s>
  <s>
    <k n="Image" t="spb"/>
    <k n="ExchangeID" t="spb"/>
    <k n="UniqueName" t="spb"/>
    <k n="`%ProviderInfo" t="spb"/>
    <k n="LearnMoreOnLink" t="spb"/>
  </s>
  <s>
    <k n="Low" t="i"/>
    <k n="P/E" t="i"/>
    <k n="Beta" t="i"/>
    <k n="High" t="i"/>
    <k n="Name" t="i"/>
    <k n="Open" t="i"/>
    <k n="Image" t="i"/>
    <k n="Price" t="i"/>
    <k n="Change" t="i"/>
    <k n="Volume" t="i"/>
    <k n="Employees" t="i"/>
    <k n="Change (%)" t="i"/>
    <k n="Market cap" t="i"/>
    <k n="52 week low" t="i"/>
    <k n="52 week high" t="i"/>
    <k n="Previous close" t="i"/>
    <k n="Volume average" t="i"/>
    <k n="Last trade time" t="i"/>
    <k n="Year incorporated" t="i"/>
    <k n="`%EntityServiceId" t="i"/>
    <k n="Shares outstanding" t="i"/>
    <k n="Price (Extended hours)" t="i"/>
    <k n="Change (Extended hours)" t="i"/>
    <k n="Change % (Extended hours)" t="i"/>
  </s>
  <s>
    <k n="name" t="s"/>
  </s>
  <s>
    <k n="Low" t="i"/>
    <k n="Beta" t="i"/>
    <k n="High" t="i"/>
    <k n="Name" t="i"/>
    <k n="Open" t="i"/>
    <k n="Price" t="i"/>
    <k n="Change" t="i"/>
    <k n="Volume" t="i"/>
    <k n="Change (%)" t="i"/>
    <k n="Market cap" t="i"/>
    <k n="52 week low" t="i"/>
    <k n="52 week high" t="i"/>
    <k n="Expense ratio" t="i"/>
    <k n="Previous close" t="i"/>
    <k n="Volume average" t="i"/>
    <k n="Last trade time" t="i"/>
    <k n="`%EntityServiceId" t="i"/>
  </s>
  <s>
    <k n="Price" t="s"/>
    <k n="Change" t="s"/>
    <k n="Exchange" t="s"/>
    <k n="Change (%)" t="s"/>
    <k n="Last trade time" t="s"/>
  </s>
  <s>
    <k n="Price" t="s"/>
    <k n="Change" t="s"/>
    <k n="Change (%)" t="s"/>
    <k n="Last trade time" t="s"/>
    <k n="Price (Extended hours)" t="s"/>
    <k n="Change (Extended hours)" t="s"/>
    <k n="Change % (Extended hours)" t="s"/>
  </s>
  <s>
    <k n="Low" t="i"/>
    <k n="High" t="i"/>
    <k n="Name" t="i"/>
    <k n="Open" t="i"/>
    <k n="Price" t="i"/>
    <k n="Change" t="i"/>
    <k n="Volume" t="i"/>
    <k n="Change (%)" t="i"/>
    <k n="52 week low" t="i"/>
    <k n="52 week high" t="i"/>
    <k n="Previous close" t="i"/>
    <k n="Volume average" t="i"/>
    <k n="Last trade time" t="i"/>
    <k n="`%EntityServiceId" t="i"/>
    <k n="Price (Extended hours)" t="i"/>
    <k n="Change (Extended hours)" t="i"/>
    <k n="Change % (Extended hours)" t="i"/>
  </s>
  <s>
    <k n="ExchangeID" t="spb"/>
    <k n="UniqueName" t="spb"/>
    <k n="`%ProviderInfo" t="spb"/>
  </s>
  <s>
    <k n="Low" t="i"/>
    <k n="P/E" t="i"/>
    <k n="High" t="i"/>
    <k n="Name" t="i"/>
    <k n="Open" t="i"/>
    <k n="Price" t="i"/>
    <k n="Change" t="i"/>
    <k n="Volume" t="i"/>
    <k n="Change (%)" t="i"/>
    <k n="52 week low" t="i"/>
    <k n="52 week high" t="i"/>
    <k n="Previous close" t="i"/>
    <k n="Volume average" t="i"/>
    <k n="Last trade time" t="i"/>
    <k n="Year incorporated" t="i"/>
    <k n="`%EntityServiceId" t="i"/>
    <k n="Shares outstanding" t="i"/>
    <k n="Price (Extended hours)" t="i"/>
    <k n="Change (Extended hours)" t="i"/>
    <k n="Change % (Extended hours)" t="i"/>
  </s>
  <s>
    <k n="Low" t="i"/>
    <k n="Beta" t="i"/>
    <k n="High" t="i"/>
    <k n="Name" t="i"/>
    <k n="Open" t="i"/>
    <k n="Price" t="i"/>
    <k n="Change" t="i"/>
    <k n="Volume" t="i"/>
    <k n="Employees" t="i"/>
    <k n="Change (%)" t="i"/>
    <k n="Market cap" t="i"/>
    <k n="52 week low" t="i"/>
    <k n="52 week high" t="i"/>
    <k n="Previous close" t="i"/>
    <k n="Volume average" t="i"/>
    <k n="Last trade time" t="i"/>
    <k n="Year incorporated" t="i"/>
    <k n="`%EntityServiceId" t="i"/>
    <k n="Shares outstanding" t="i"/>
    <k n="Price (Extended hours)" t="i"/>
    <k n="Change (Extended hours)" t="i"/>
    <k n="Change % (Extended hours)" t="i"/>
  </s>
</spbStructures>
</file>

<file path=xl/richData/richStyles.xml><?xml version="1.0" encoding="utf-8"?>
<richStyleSheet xmlns="http://schemas.microsoft.com/office/spreadsheetml/2017/richdata2" xmlns:mc="http://schemas.openxmlformats.org/markup-compatibility/2006" xmlns:x="http://schemas.openxmlformats.org/spreadsheetml/2006/main" mc:Ignorable="x">
  <dxfs count="7">
    <x:dxf>
      <x:numFmt numFmtId="2" formatCode="0.00"/>
    </x:dxf>
    <x:dxf>
      <x:numFmt numFmtId="0" formatCode="General"/>
    </x:dxf>
    <x:dxf>
      <x:numFmt numFmtId="27" formatCode="yyyy/mm/dd\ h:mm"/>
    </x:dxf>
    <x:dxf>
      <x:numFmt numFmtId="14" formatCode="0.00%"/>
    </x:dxf>
    <x:dxf>
      <x:numFmt numFmtId="3" formatCode="#,##0"/>
    </x:dxf>
    <x:dxf>
      <x:numFmt numFmtId="4" formatCode="#,##0.00"/>
    </x:dxf>
    <x:dxf>
      <x:numFmt numFmtId="1" formatCode="0"/>
    </x:dxf>
  </dxfs>
  <richProperties>
    <rPr n="NumberFormat" t="s"/>
    <rPr n="IsTitleField" t="b"/>
    <rPr n="IsHeroField" t="b"/>
  </richProperties>
  <richStyles>
    <rSty dxfid="1">
      <rpv i="0">_([$$-en-US]* #,##0.00_);_([$$-en-US]* (#,##0.00);_([$$-en-US]* "-"??_);_(@_)</rpv>
    </rSty>
    <rSty dxfid="5">
      <rpv i="0">#,##0.00</rpv>
    </rSty>
    <rSty>
      <rpv i="1">1</rpv>
    </rSty>
    <rSty dxfid="4">
      <rpv i="0">#,##0</rpv>
    </rSty>
    <rSty dxfid="3"/>
    <rSty dxfid="1">
      <rpv i="0">_([$$-en-US]* #,##0_);_([$$-en-US]* (#,##0);_([$$-en-US]* "-"_);_(@_)</rpv>
    </rSty>
    <rSty dxfid="2"/>
    <rSty dxfid="0">
      <rpv i="0">0.00</rpv>
    </rSty>
    <rSty dxfid="6">
      <rpv i="0">0</rpv>
    </rSty>
    <rSty>
      <rpv i="2">1</rpv>
    </rSty>
    <rSty dxfid="1">
      <rpv i="0">_-[$$-en-CA]* #,##0.00_-;-[$$-en-CA]* #,##0.00_-;_-[$$-en-CA]* "-"??_-;_-@_-</rpv>
    </rSty>
    <rSty dxfid="1">
      <rpv i="0">_-[$$-en-CA]* #,##0_-;-[$$-en-CA]* #,##0_-;_-[$$-en-CA]* "-"_-;_-@_-</rpv>
    </rSty>
  </richStyles>
</richStyleSheet>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474F1AA-7094-4475-87D1-34E17EB46089}">
  <dimension ref="A1:D15"/>
  <sheetViews>
    <sheetView workbookViewId="0">
      <selection activeCell="B15" sqref="B15"/>
    </sheetView>
  </sheetViews>
  <sheetFormatPr defaultRowHeight="15" x14ac:dyDescent="0.25"/>
  <cols>
    <col min="2" max="2" width="37.5703125" bestFit="1" customWidth="1"/>
  </cols>
  <sheetData>
    <row r="1" spans="1:4" x14ac:dyDescent="0.25">
      <c r="A1" t="s">
        <v>190</v>
      </c>
      <c r="B1" t="s">
        <v>189</v>
      </c>
      <c r="C1" t="s">
        <v>187</v>
      </c>
      <c r="D1" t="s">
        <v>188</v>
      </c>
    </row>
    <row r="2" spans="1:4" x14ac:dyDescent="0.25">
      <c r="A2" t="s">
        <v>5</v>
      </c>
      <c r="B2" t="e" vm="1">
        <v>#VALUE!</v>
      </c>
      <c r="C2" s="1" cm="1">
        <f t="array" aca="1" ref="C2" ca="1">_FV(B2,"Price")</f>
        <v>742.09</v>
      </c>
      <c r="D2" s="2" cm="1">
        <f t="array" aca="1" ref="D2" ca="1">_FV(B2,"Change (%)",TRUE)</f>
        <v>-1.614E-3</v>
      </c>
    </row>
    <row r="3" spans="1:4" x14ac:dyDescent="0.25">
      <c r="A3" t="s">
        <v>2</v>
      </c>
      <c r="B3" t="e" vm="2">
        <v>#VALUE!</v>
      </c>
      <c r="C3" s="1" cm="1">
        <f t="array" aca="1" ref="C3" ca="1">_FV(B3,"Price")</f>
        <v>696.06</v>
      </c>
      <c r="D3" s="2" cm="1">
        <f t="array" aca="1" ref="D3" ca="1">_FV(B3,"Change (%)",TRUE)</f>
        <v>1.0499999999999999E-3</v>
      </c>
    </row>
    <row r="4" spans="1:4" x14ac:dyDescent="0.25">
      <c r="A4" t="s">
        <v>6</v>
      </c>
      <c r="B4" t="e" vm="3">
        <v>#VALUE!</v>
      </c>
      <c r="C4" s="1" cm="1">
        <f t="array" aca="1" ref="C4" ca="1">_FV(B4,"Price")</f>
        <v>517.94000000000005</v>
      </c>
      <c r="D4" s="2" cm="1">
        <f t="array" aca="1" ref="D4" ca="1">_FV(B4,"Change (%)",TRUE)</f>
        <v>-5.5110000000000003E-3</v>
      </c>
    </row>
    <row r="5" spans="1:4" x14ac:dyDescent="0.25">
      <c r="A5" t="s">
        <v>3</v>
      </c>
      <c r="B5" t="e" vm="4">
        <v>#VALUE!</v>
      </c>
      <c r="C5" s="1" cm="1">
        <f t="array" aca="1" ref="C5" ca="1">_FV(B5,"Price")</f>
        <v>292.31</v>
      </c>
      <c r="D5" s="2" cm="1">
        <f t="array" aca="1" ref="D5" ca="1">_FV(B5,"Change (%)",TRUE)</f>
        <v>-5.8840000000000003E-3</v>
      </c>
    </row>
    <row r="6" spans="1:4" x14ac:dyDescent="0.25">
      <c r="A6" t="s">
        <v>99</v>
      </c>
      <c r="B6" t="e" vm="5">
        <v>#VALUE!</v>
      </c>
      <c r="C6" s="1" cm="1">
        <f t="array" aca="1" ref="C6" ca="1">_FV(B6,"Price")</f>
        <v>93.54</v>
      </c>
      <c r="D6" s="2" cm="1">
        <f t="array" aca="1" ref="D6" ca="1">_FV(B6,"Change (%)",TRUE)</f>
        <v>-3.1969999999999998E-3</v>
      </c>
    </row>
    <row r="7" spans="1:4" x14ac:dyDescent="0.25">
      <c r="A7" t="s">
        <v>191</v>
      </c>
      <c r="B7" t="e" vm="6">
        <v>#VALUE!</v>
      </c>
      <c r="C7" s="1" cm="1">
        <f t="array" aca="1" ref="C7" ca="1">_FV(B7,"Price")</f>
        <v>36.89</v>
      </c>
      <c r="D7" s="2" cm="1">
        <f t="array" aca="1" ref="D7" ca="1">_FV(B7,"Change (%)",TRUE)</f>
        <v>1.4856000000000001E-2</v>
      </c>
    </row>
    <row r="8" spans="1:4" x14ac:dyDescent="0.25">
      <c r="A8" t="s">
        <v>119</v>
      </c>
      <c r="B8" t="e" vm="7">
        <v>#VALUE!</v>
      </c>
      <c r="C8" s="1" cm="1">
        <f t="array" aca="1" ref="C8" ca="1">_FV(B8,"Price")</f>
        <v>125.51</v>
      </c>
      <c r="D8" s="2" cm="1">
        <f t="array" aca="1" ref="D8" ca="1">_FV(B8,"Change (%)",TRUE)</f>
        <v>1.2503999999999999E-2</v>
      </c>
    </row>
    <row r="9" spans="1:4" x14ac:dyDescent="0.25">
      <c r="A9" t="s">
        <v>193</v>
      </c>
      <c r="B9" t="e" vm="8">
        <v>#VALUE!</v>
      </c>
      <c r="C9" s="1" cm="1">
        <f t="array" aca="1" ref="C9" ca="1">_FV(B9,"Price")</f>
        <v>67.180000000000007</v>
      </c>
      <c r="D9" s="2" cm="1">
        <f t="array" aca="1" ref="D9" ca="1">_FV(B9,"Change (%)",TRUE)</f>
        <v>-7.9740000000000002E-3</v>
      </c>
    </row>
    <row r="10" spans="1:4" x14ac:dyDescent="0.25">
      <c r="A10" t="s">
        <v>147</v>
      </c>
      <c r="B10" t="e" vm="9">
        <v>#VALUE!</v>
      </c>
      <c r="C10" s="1" cm="1">
        <f t="array" aca="1" ref="C10" ca="1">_FV(B10,"Price")</f>
        <v>90.43</v>
      </c>
      <c r="D10" s="2" cm="1">
        <f t="array" aca="1" ref="D10" ca="1">_FV(B10,"Change (%)",TRUE)</f>
        <v>-6.6309999999999991E-4</v>
      </c>
    </row>
    <row r="11" spans="1:4" x14ac:dyDescent="0.25">
      <c r="A11" t="s">
        <v>192</v>
      </c>
      <c r="B11" t="e" vm="10">
        <v>#VALUE!</v>
      </c>
      <c r="C11" s="1" cm="1">
        <f t="array" aca="1" ref="C11" ca="1">_FV(B11,"Price")</f>
        <v>42.17</v>
      </c>
      <c r="D11" s="2" cm="1">
        <f t="array" aca="1" ref="D11" ca="1">_FV(B11,"Change (%)",TRUE)</f>
        <v>-3.5439999999999998E-3</v>
      </c>
    </row>
    <row r="12" spans="1:4" x14ac:dyDescent="0.25">
      <c r="A12" t="s">
        <v>130</v>
      </c>
      <c r="B12" t="e" vm="11">
        <v>#VALUE!</v>
      </c>
      <c r="C12" s="1" cm="1">
        <f t="array" aca="1" ref="C12" ca="1">_FV(B12,"Price")</f>
        <v>35.04</v>
      </c>
      <c r="D12" s="2" cm="1">
        <f t="array" aca="1" ref="D12" ca="1">_FV(B12,"Change (%)",TRUE)</f>
        <v>2.6663000000000003E-2</v>
      </c>
    </row>
    <row r="13" spans="1:4" x14ac:dyDescent="0.25">
      <c r="A13" t="s">
        <v>148</v>
      </c>
      <c r="B13" t="e" vm="12">
        <v>#VALUE!</v>
      </c>
      <c r="C13" s="1" cm="1">
        <f t="array" aca="1" ref="C13" ca="1">_FV(B13,"Price")</f>
        <v>58.62</v>
      </c>
      <c r="D13" s="2" cm="1">
        <f t="array" aca="1" ref="D13" ca="1">_FV(B13,"Change (%)",TRUE)</f>
        <v>-1.3960999999999999E-2</v>
      </c>
    </row>
    <row r="14" spans="1:4" x14ac:dyDescent="0.25">
      <c r="A14" t="s">
        <v>151</v>
      </c>
      <c r="B14" t="e" vm="13">
        <v>#VALUE!</v>
      </c>
      <c r="C14" s="1" cm="1">
        <f t="array" aca="1" ref="C14" ca="1">_FV(B14,"Price")</f>
        <v>75.09</v>
      </c>
      <c r="D14" s="2" cm="1">
        <f t="array" aca="1" ref="D14" ca="1">_FV(B14,"Change (%)",TRUE)</f>
        <v>-2.6630000000000002E-4</v>
      </c>
    </row>
    <row r="15" spans="1:4" x14ac:dyDescent="0.25">
      <c r="A15" t="s">
        <v>195</v>
      </c>
      <c r="B15" t="e" vm="14">
        <v>#VALUE!</v>
      </c>
      <c r="C15" s="1" cm="1">
        <f t="array" aca="1" ref="C15" ca="1">_FV(B15,"Price")</f>
        <v>18.649999999999999</v>
      </c>
      <c r="D15" s="2" cm="1">
        <f t="array" aca="1" ref="D15" ca="1">_FV(B15,"Change (%)",TRUE)</f>
        <v>-6.3929999999999994E-3</v>
      </c>
    </row>
  </sheetData>
  <conditionalFormatting sqref="D2:D15">
    <cfRule type="cellIs" dxfId="39" priority="1" operator="greaterThan">
      <formula>0</formula>
    </cfRule>
    <cfRule type="cellIs" dxfId="38" priority="2" operator="lessThan">
      <formula>0</formula>
    </cfRule>
  </conditionalFormatting>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4CF5984-6964-4C81-B11E-BBA8AEFED76B}">
  <sheetPr>
    <tabColor rgb="FF92D050"/>
  </sheetPr>
  <dimension ref="A1:D8"/>
  <sheetViews>
    <sheetView workbookViewId="0">
      <selection sqref="A1:XFD1"/>
    </sheetView>
  </sheetViews>
  <sheetFormatPr defaultRowHeight="15" x14ac:dyDescent="0.25"/>
  <cols>
    <col min="2" max="2" width="37.85546875" bestFit="1" customWidth="1"/>
    <col min="3" max="3" width="11.5703125" bestFit="1" customWidth="1"/>
  </cols>
  <sheetData>
    <row r="1" spans="1:4" x14ac:dyDescent="0.25">
      <c r="A1" t="s">
        <v>0</v>
      </c>
      <c r="B1" t="s">
        <v>189</v>
      </c>
      <c r="C1" t="s">
        <v>187</v>
      </c>
      <c r="D1" t="s">
        <v>188</v>
      </c>
    </row>
    <row r="2" spans="1:4" x14ac:dyDescent="0.25">
      <c r="A2" t="s">
        <v>6</v>
      </c>
      <c r="B2" t="e" vm="3">
        <v>#VALUE!</v>
      </c>
      <c r="C2" s="1" cm="1">
        <f t="array" aca="1" ref="C2" ca="1">_FV(B2,"Price")</f>
        <v>517.94000000000005</v>
      </c>
      <c r="D2" s="2" cm="1">
        <f t="array" aca="1" ref="D2" ca="1">_FV(B2,"Change (%)",TRUE)</f>
        <v>-5.5110000000000003E-3</v>
      </c>
    </row>
    <row r="3" spans="1:4" x14ac:dyDescent="0.25">
      <c r="A3" t="s">
        <v>5</v>
      </c>
      <c r="B3" t="e" vm="1">
        <v>#VALUE!</v>
      </c>
      <c r="C3" s="1" cm="1">
        <f t="array" aca="1" ref="C3" ca="1">_FV(B3,"Price")</f>
        <v>742.09</v>
      </c>
      <c r="D3" s="2" cm="1">
        <f t="array" aca="1" ref="D3" ca="1">_FV(B3,"Change (%)",TRUE)</f>
        <v>-1.614E-3</v>
      </c>
    </row>
    <row r="4" spans="1:4" x14ac:dyDescent="0.25">
      <c r="A4" t="s">
        <v>7</v>
      </c>
      <c r="B4" t="e" vm="15">
        <v>#VALUE!</v>
      </c>
      <c r="C4" s="1" cm="1">
        <f t="array" aca="1" ref="C4" ca="1">_FV(B4,"Price")</f>
        <v>683.34</v>
      </c>
      <c r="D4" s="2" cm="1">
        <f t="array" aca="1" ref="D4" ca="1">_FV(B4,"Change (%)",TRUE)</f>
        <v>-7.8549999999999991E-3</v>
      </c>
    </row>
    <row r="5" spans="1:4" x14ac:dyDescent="0.25">
      <c r="A5" t="s">
        <v>2</v>
      </c>
      <c r="B5" t="e" vm="2">
        <v>#VALUE!</v>
      </c>
      <c r="C5" s="1" cm="1">
        <f t="array" aca="1" ref="C5" ca="1">_FV(B5,"Price")</f>
        <v>696.06</v>
      </c>
      <c r="D5" s="2" cm="1">
        <f t="array" aca="1" ref="D5" ca="1">_FV(B5,"Change (%)",TRUE)</f>
        <v>1.0499999999999999E-3</v>
      </c>
    </row>
    <row r="6" spans="1:4" x14ac:dyDescent="0.25">
      <c r="A6" t="s">
        <v>1</v>
      </c>
      <c r="B6" t="e" vm="16">
        <v>#VALUE!</v>
      </c>
      <c r="C6" s="1" cm="1">
        <f t="array" aca="1" ref="C6" ca="1">_FV(B6,"Price")</f>
        <v>100.55</v>
      </c>
      <c r="D6" s="2" cm="1">
        <f t="array" aca="1" ref="D6" ca="1">_FV(B6,"Change (%)",TRUE)</f>
        <v>9.9550000000000007E-4</v>
      </c>
    </row>
    <row r="7" spans="1:4" x14ac:dyDescent="0.25">
      <c r="A7" t="s">
        <v>3</v>
      </c>
      <c r="B7" t="e" vm="4">
        <v>#VALUE!</v>
      </c>
      <c r="C7" s="1" cm="1">
        <f t="array" aca="1" ref="C7" ca="1">_FV(B7,"Price")</f>
        <v>292.31</v>
      </c>
      <c r="D7" s="2" cm="1">
        <f t="array" aca="1" ref="D7" ca="1">_FV(B7,"Change (%)",TRUE)</f>
        <v>-5.8840000000000003E-3</v>
      </c>
    </row>
    <row r="8" spans="1:4" x14ac:dyDescent="0.25">
      <c r="A8" t="s">
        <v>4</v>
      </c>
      <c r="B8" t="e" vm="17">
        <v>#VALUE!</v>
      </c>
      <c r="C8" s="1" cm="1">
        <f t="array" aca="1" ref="C8" ca="1">_FV(B8,"Price")</f>
        <v>189.31</v>
      </c>
      <c r="D8" s="2" cm="1">
        <f t="array" aca="1" ref="D8" ca="1">_FV(B8,"Change (%)",TRUE)</f>
        <v>-1.2055E-2</v>
      </c>
    </row>
  </sheetData>
  <autoFilter ref="A1:D1" xr:uid="{D4CF5984-6964-4C81-B11E-BBA8AEFED76B}">
    <sortState xmlns:xlrd2="http://schemas.microsoft.com/office/spreadsheetml/2017/richdata2" ref="A2:D8">
      <sortCondition descending="1" ref="D1"/>
    </sortState>
  </autoFilter>
  <conditionalFormatting sqref="D2:D8">
    <cfRule type="cellIs" dxfId="37" priority="1" operator="greaterThan">
      <formula>0</formula>
    </cfRule>
    <cfRule type="cellIs" dxfId="36" priority="2" operator="lessThan">
      <formula>0</formula>
    </cfRule>
  </conditionalFormatting>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ECB5253-6835-43BD-8A90-A41DD21D53D2}">
  <sheetPr>
    <tabColor rgb="FF92D050"/>
  </sheetPr>
  <dimension ref="A1:D12"/>
  <sheetViews>
    <sheetView workbookViewId="0">
      <selection activeCell="A6" sqref="A6:XFD6"/>
    </sheetView>
  </sheetViews>
  <sheetFormatPr defaultRowHeight="15" x14ac:dyDescent="0.25"/>
  <cols>
    <col min="2" max="2" width="37.28515625" bestFit="1" customWidth="1"/>
  </cols>
  <sheetData>
    <row r="1" spans="1:4" x14ac:dyDescent="0.25">
      <c r="A1" t="s">
        <v>0</v>
      </c>
      <c r="B1" t="s">
        <v>189</v>
      </c>
      <c r="C1" t="s">
        <v>187</v>
      </c>
      <c r="D1" t="s">
        <v>188</v>
      </c>
    </row>
    <row r="2" spans="1:4" x14ac:dyDescent="0.25">
      <c r="A2" t="s">
        <v>8</v>
      </c>
      <c r="B2" t="e" vm="18">
        <v>#VALUE!</v>
      </c>
      <c r="C2" s="1" cm="1">
        <f t="array" aca="1" ref="C2" ca="1">_FV(B2,"Price")</f>
        <v>175.71</v>
      </c>
      <c r="D2" s="2" cm="1">
        <f t="array" aca="1" ref="D2" ca="1">_FV(B2,"Change (%)",TRUE)</f>
        <v>6.8340000000000002E-4</v>
      </c>
    </row>
    <row r="3" spans="1:4" x14ac:dyDescent="0.25">
      <c r="A3" t="s">
        <v>18</v>
      </c>
      <c r="B3" t="e" vm="19">
        <v>#VALUE!</v>
      </c>
      <c r="C3" s="1" cm="1">
        <f t="array" aca="1" ref="C3" ca="1">_FV(B3,"Price")</f>
        <v>178.12</v>
      </c>
      <c r="D3" s="2" cm="1">
        <f t="array" aca="1" ref="D3" ca="1">_FV(B3,"Change (%)",TRUE)</f>
        <v>-7.1899999999999993E-3</v>
      </c>
    </row>
    <row r="4" spans="1:4" x14ac:dyDescent="0.25">
      <c r="A4" t="s">
        <v>16</v>
      </c>
      <c r="B4" t="e" vm="20">
        <v>#VALUE!</v>
      </c>
      <c r="C4" s="1" cm="1">
        <f t="array" aca="1" ref="C4" ca="1">_FV(B4,"Price")</f>
        <v>50.03</v>
      </c>
      <c r="D4" s="2" cm="1">
        <f t="array" aca="1" ref="D4" ca="1">_FV(B4,"Change (%)",TRUE)</f>
        <v>-9.895000000000001E-3</v>
      </c>
    </row>
    <row r="5" spans="1:4" x14ac:dyDescent="0.25">
      <c r="A5" t="s">
        <v>14</v>
      </c>
      <c r="B5" t="e" vm="21">
        <v>#VALUE!</v>
      </c>
      <c r="C5" s="1" cm="1">
        <f t="array" aca="1" ref="C5" ca="1">_FV(B5,"Price")</f>
        <v>110.8</v>
      </c>
      <c r="D5" s="2" cm="1">
        <f t="array" aca="1" ref="D5" ca="1">_FV(B5,"Change (%)",TRUE)</f>
        <v>1.356E-3</v>
      </c>
    </row>
    <row r="6" spans="1:4" x14ac:dyDescent="0.25">
      <c r="A6" t="s">
        <v>17</v>
      </c>
      <c r="B6" t="e" vm="22">
        <v>#VALUE!</v>
      </c>
      <c r="C6" s="1" cm="1">
        <f t="array" aca="1" ref="C6" ca="1">_FV(B6,"Price")</f>
        <v>114.61</v>
      </c>
      <c r="D6" s="2" cm="1">
        <f t="array" aca="1" ref="D6" ca="1">_FV(B6,"Change (%)",TRUE)</f>
        <v>-7.1899999999999993E-3</v>
      </c>
    </row>
    <row r="7" spans="1:4" x14ac:dyDescent="0.25">
      <c r="A7" t="s">
        <v>13</v>
      </c>
      <c r="B7" t="e" vm="23">
        <v>#VALUE!</v>
      </c>
      <c r="C7" s="1" cm="1">
        <f t="array" aca="1" ref="C7" ca="1">_FV(B7,"Price")</f>
        <v>57.94</v>
      </c>
      <c r="D7" s="2" cm="1">
        <f t="array" aca="1" ref="D7" ca="1">_FV(B7,"Change (%)",TRUE)</f>
        <v>4.5079999999999999E-3</v>
      </c>
    </row>
    <row r="8" spans="1:4" x14ac:dyDescent="0.25">
      <c r="A8" t="s">
        <v>10</v>
      </c>
      <c r="B8" t="e" vm="24">
        <v>#VALUE!</v>
      </c>
      <c r="C8" s="1" cm="1">
        <f t="array" aca="1" ref="C8" ca="1">_FV(B8,"Price")</f>
        <v>159.25</v>
      </c>
      <c r="D8" s="2" cm="1">
        <f t="array" aca="1" ref="D8" ca="1">_FV(B8,"Change (%)",TRUE)</f>
        <v>-1.1422000000000002E-2</v>
      </c>
    </row>
    <row r="9" spans="1:4" x14ac:dyDescent="0.25">
      <c r="A9" t="s">
        <v>11</v>
      </c>
      <c r="B9" t="e" vm="25">
        <v>#VALUE!</v>
      </c>
      <c r="C9" s="1" cm="1">
        <f t="array" aca="1" ref="C9" ca="1">_FV(B9,"Price")</f>
        <v>56.04</v>
      </c>
      <c r="D9" s="2" cm="1">
        <f t="array" aca="1" ref="D9" ca="1">_FV(B9,"Change (%)",TRUE)</f>
        <v>-3.9100000000000003E-3</v>
      </c>
    </row>
    <row r="10" spans="1:4" x14ac:dyDescent="0.25">
      <c r="A10" t="s">
        <v>9</v>
      </c>
      <c r="B10" t="e" vm="26">
        <v>#VALUE!</v>
      </c>
      <c r="C10" s="1" cm="1">
        <f t="array" aca="1" ref="C10" ca="1">_FV(B10,"Price")</f>
        <v>45.23</v>
      </c>
      <c r="D10" s="2" cm="1">
        <f t="array" aca="1" ref="D10" ca="1">_FV(B10,"Change (%)",TRUE)</f>
        <v>-4.1830000000000001E-3</v>
      </c>
    </row>
    <row r="11" spans="1:4" x14ac:dyDescent="0.25">
      <c r="A11" t="s">
        <v>12</v>
      </c>
      <c r="B11" t="e" vm="27">
        <v>#VALUE!</v>
      </c>
      <c r="C11" s="1" cm="1">
        <f t="array" aca="1" ref="C11" ca="1">_FV(B11,"Price")</f>
        <v>44.94</v>
      </c>
      <c r="D11" s="2" cm="1">
        <f t="array" aca="1" ref="D11" ca="1">_FV(B11,"Change (%)",TRUE)</f>
        <v>-5.0920000000000002E-3</v>
      </c>
    </row>
    <row r="12" spans="1:4" x14ac:dyDescent="0.25">
      <c r="A12" t="s">
        <v>15</v>
      </c>
      <c r="B12" t="e" vm="28">
        <v>#VALUE!</v>
      </c>
      <c r="C12" s="1" cm="1">
        <f t="array" aca="1" ref="C12" ca="1">_FV(B12,"Price")</f>
        <v>84.86</v>
      </c>
      <c r="D12" s="2" cm="1">
        <f t="array" aca="1" ref="D12" ca="1">_FV(B12,"Change (%)",TRUE)</f>
        <v>-3.8740000000000003E-3</v>
      </c>
    </row>
  </sheetData>
  <autoFilter ref="A1:D1" xr:uid="{4ECB5253-6835-43BD-8A90-A41DD21D53D2}">
    <sortState xmlns:xlrd2="http://schemas.microsoft.com/office/spreadsheetml/2017/richdata2" ref="A2:D12">
      <sortCondition descending="1" ref="D1"/>
    </sortState>
  </autoFilter>
  <conditionalFormatting sqref="D2:D12">
    <cfRule type="cellIs" dxfId="35" priority="1" operator="greaterThan">
      <formula>0</formula>
    </cfRule>
    <cfRule type="cellIs" dxfId="34" priority="2" operator="lessThan">
      <formula>0</formula>
    </cfRule>
  </conditionalFormatting>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1937E43-D336-4FB6-8CB9-F7B234E12FE1}">
  <dimension ref="A1:D4"/>
  <sheetViews>
    <sheetView workbookViewId="0">
      <selection activeCell="B5" sqref="B5"/>
    </sheetView>
  </sheetViews>
  <sheetFormatPr defaultRowHeight="15" x14ac:dyDescent="0.25"/>
  <cols>
    <col min="1" max="1" width="5.42578125" bestFit="1" customWidth="1"/>
    <col min="2" max="2" width="35.28515625" bestFit="1" customWidth="1"/>
    <col min="3" max="3" width="9" bestFit="1" customWidth="1"/>
    <col min="4" max="4" width="7.5703125" bestFit="1" customWidth="1"/>
  </cols>
  <sheetData>
    <row r="1" spans="1:4" x14ac:dyDescent="0.25">
      <c r="A1" t="s">
        <v>0</v>
      </c>
      <c r="B1" t="s">
        <v>189</v>
      </c>
      <c r="C1" t="s">
        <v>187</v>
      </c>
      <c r="D1" t="s">
        <v>188</v>
      </c>
    </row>
    <row r="2" spans="1:4" x14ac:dyDescent="0.25">
      <c r="A2" t="s">
        <v>202</v>
      </c>
      <c r="B2" t="e" vm="29">
        <v>#VALUE!</v>
      </c>
      <c r="C2" s="1" cm="1">
        <f t="array" aca="1" ref="C2" ca="1">_FV(B2,"Price")</f>
        <v>53.1</v>
      </c>
      <c r="D2" s="2" cm="1">
        <f t="array" aca="1" ref="D2" ca="1">_FV(B2,"Change (%)",TRUE)</f>
        <v>7.208E-3</v>
      </c>
    </row>
    <row r="3" spans="1:4" x14ac:dyDescent="0.25">
      <c r="A3" t="s">
        <v>203</v>
      </c>
      <c r="B3" t="e" vm="30">
        <v>#VALUE!</v>
      </c>
      <c r="C3" s="1" cm="1">
        <f t="array" aca="1" ref="C3" ca="1">_FV(B3,"Price")</f>
        <v>82.09</v>
      </c>
      <c r="D3" s="2" cm="1">
        <f t="array" aca="1" ref="D3" ca="1">_FV(B3,"Change (%)",TRUE)</f>
        <v>1.8310000000000002E-3</v>
      </c>
    </row>
    <row r="4" spans="1:4" x14ac:dyDescent="0.25">
      <c r="A4" t="s">
        <v>204</v>
      </c>
      <c r="B4" t="e" vm="31">
        <v>#VALUE!</v>
      </c>
      <c r="C4" s="1" cm="1">
        <f t="array" aca="1" ref="C4" ca="1">_FV(B4,"Price")</f>
        <v>524.14</v>
      </c>
      <c r="D4" s="2" cm="1">
        <f t="array" aca="1" ref="D4" ca="1">_FV(B4,"Change (%)",TRUE)</f>
        <v>4.4650000000000002E-3</v>
      </c>
    </row>
  </sheetData>
  <conditionalFormatting sqref="D2:D4">
    <cfRule type="cellIs" dxfId="1" priority="1" operator="greaterThan">
      <formula>0</formula>
    </cfRule>
    <cfRule type="cellIs" dxfId="0" priority="2" operator="lessThan">
      <formula>0</formula>
    </cfRule>
  </conditionalFormatting>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4A87D3D-2ED3-4447-8941-183FC53E84C1}">
  <dimension ref="A1:D35"/>
  <sheetViews>
    <sheetView workbookViewId="0">
      <selection sqref="A1:D4"/>
    </sheetView>
  </sheetViews>
  <sheetFormatPr defaultRowHeight="15" x14ac:dyDescent="0.25"/>
  <cols>
    <col min="2" max="2" width="40.28515625" bestFit="1" customWidth="1"/>
  </cols>
  <sheetData>
    <row r="1" spans="1:4" x14ac:dyDescent="0.25">
      <c r="A1" t="s">
        <v>0</v>
      </c>
      <c r="B1" t="s">
        <v>189</v>
      </c>
      <c r="C1" t="s">
        <v>187</v>
      </c>
      <c r="D1" t="s">
        <v>188</v>
      </c>
    </row>
    <row r="2" spans="1:4" x14ac:dyDescent="0.25">
      <c r="A2" t="s">
        <v>21</v>
      </c>
      <c r="B2" t="e" vm="32">
        <v>#VALUE!</v>
      </c>
      <c r="C2" s="1" cm="1">
        <f t="array" aca="1" ref="C2" ca="1">_FV(B2,"Price")</f>
        <v>33.21</v>
      </c>
      <c r="D2" s="2" cm="1">
        <f t="array" aca="1" ref="D2" ca="1">_FV(B2,"Change (%)",TRUE)</f>
        <v>-5.391E-3</v>
      </c>
    </row>
    <row r="3" spans="1:4" x14ac:dyDescent="0.25">
      <c r="A3" t="s">
        <v>22</v>
      </c>
      <c r="B3" t="e" vm="33">
        <v>#VALUE!</v>
      </c>
      <c r="C3" s="1" cm="1">
        <f t="array" aca="1" ref="C3" ca="1">_FV(B3,"Price")</f>
        <v>46.292099999999998</v>
      </c>
      <c r="D3" s="2" cm="1">
        <f t="array" aca="1" ref="D3" ca="1">_FV(B3,"Change (%)",TRUE)</f>
        <v>1.1807000000000002E-2</v>
      </c>
    </row>
    <row r="4" spans="1:4" x14ac:dyDescent="0.25">
      <c r="A4" t="s">
        <v>25</v>
      </c>
      <c r="B4" t="e" vm="34">
        <v>#VALUE!</v>
      </c>
      <c r="C4" s="1" cm="1">
        <f t="array" aca="1" ref="C4" ca="1">_FV(B4,"Price")</f>
        <v>558.83000000000004</v>
      </c>
      <c r="D4" s="2" cm="1">
        <f t="array" aca="1" ref="D4" ca="1">_FV(B4,"Change (%)",TRUE)</f>
        <v>4.1330000000000004E-3</v>
      </c>
    </row>
    <row r="5" spans="1:4" x14ac:dyDescent="0.25">
      <c r="A5" t="s">
        <v>30</v>
      </c>
      <c r="B5" t="e" vm="35">
        <v>#VALUE!</v>
      </c>
      <c r="C5" s="1" cm="1">
        <f t="array" aca="1" ref="C5" ca="1">_FV(B5,"Price")</f>
        <v>375.18</v>
      </c>
      <c r="D5" s="2" cm="1">
        <f t="array" aca="1" ref="D5" ca="1">_FV(B5,"Change (%)",TRUE)</f>
        <v>-1.0053000000000001E-2</v>
      </c>
    </row>
    <row r="6" spans="1:4" x14ac:dyDescent="0.25">
      <c r="A6" t="s">
        <v>201</v>
      </c>
      <c r="B6" t="e" vm="36">
        <v>#VALUE!</v>
      </c>
      <c r="C6" s="1" cm="1">
        <f t="array" aca="1" ref="C6" ca="1">_FV(B6,"Price")</f>
        <v>62.33</v>
      </c>
      <c r="D6" s="2" cm="1">
        <f t="array" aca="1" ref="D6" ca="1">_FV(B6,"Change (%)",TRUE)</f>
        <v>-1.6020000000000001E-3</v>
      </c>
    </row>
    <row r="7" spans="1:4" x14ac:dyDescent="0.25">
      <c r="A7" t="s">
        <v>48</v>
      </c>
      <c r="B7" t="e" vm="37">
        <v>#VALUE!</v>
      </c>
      <c r="C7" s="1" cm="1">
        <f t="array" aca="1" ref="C7" ca="1">_FV(B7,"Price")</f>
        <v>106.07</v>
      </c>
      <c r="D7" s="2" cm="1">
        <f t="array" aca="1" ref="D7" ca="1">_FV(B7,"Change (%)",TRUE)</f>
        <v>-2.0139000000000001E-2</v>
      </c>
    </row>
    <row r="8" spans="1:4" x14ac:dyDescent="0.25">
      <c r="A8" t="s">
        <v>200</v>
      </c>
      <c r="B8" t="e" vm="38">
        <v>#VALUE!</v>
      </c>
      <c r="C8" s="1" cm="1">
        <f t="array" aca="1" ref="C8" ca="1">_FV(B8,"Price")</f>
        <v>141.18</v>
      </c>
      <c r="D8" s="2" cm="1">
        <f t="array" aca="1" ref="D8" ca="1">_FV(B8,"Change (%)",TRUE)</f>
        <v>-3.5989999999999998E-3</v>
      </c>
    </row>
    <row r="9" spans="1:4" x14ac:dyDescent="0.25">
      <c r="A9" t="s">
        <v>20</v>
      </c>
      <c r="B9" t="e" vm="39">
        <v>#VALUE!</v>
      </c>
      <c r="C9" s="1" cm="1">
        <f t="array" aca="1" ref="C9" ca="1">_FV(B9,"Price")</f>
        <v>70.739999999999995</v>
      </c>
      <c r="D9" s="2" cm="1">
        <f t="array" aca="1" ref="D9" ca="1">_FV(B9,"Change (%)",TRUE)</f>
        <v>-8.1320000000000003E-3</v>
      </c>
    </row>
    <row r="10" spans="1:4" x14ac:dyDescent="0.25">
      <c r="A10" t="s">
        <v>40</v>
      </c>
      <c r="B10" t="e" vm="40">
        <v>#VALUE!</v>
      </c>
      <c r="C10" s="1" cm="1">
        <f t="array" aca="1" ref="C10" ca="1">_FV(B10,"Price")</f>
        <v>170.04</v>
      </c>
      <c r="D10" s="2" cm="1">
        <f t="array" aca="1" ref="D10" ca="1">_FV(B10,"Change (%)",TRUE)</f>
        <v>-8.2269999999999999E-4</v>
      </c>
    </row>
    <row r="11" spans="1:4" x14ac:dyDescent="0.25">
      <c r="A11" t="s">
        <v>49</v>
      </c>
      <c r="B11" t="e" vm="41">
        <v>#VALUE!</v>
      </c>
      <c r="C11" s="1" cm="1">
        <f t="array" aca="1" ref="C11" ca="1">_FV(B11,"Price")</f>
        <v>88.26</v>
      </c>
      <c r="D11" s="2" cm="1">
        <f t="array" aca="1" ref="D11" ca="1">_FV(B11,"Change (%)",TRUE)</f>
        <v>-1.0648999999999999E-2</v>
      </c>
    </row>
    <row r="12" spans="1:4" x14ac:dyDescent="0.25">
      <c r="A12" t="s">
        <v>39</v>
      </c>
      <c r="B12" t="e" vm="42">
        <v>#VALUE!</v>
      </c>
      <c r="C12" s="1" cm="1">
        <f t="array" aca="1" ref="C12" ca="1">_FV(B12,"Price")</f>
        <v>172.67</v>
      </c>
      <c r="D12" s="2" cm="1">
        <f t="array" aca="1" ref="D12" ca="1">_FV(B12,"Change (%)",TRUE)</f>
        <v>-7.3009999999999993E-3</v>
      </c>
    </row>
    <row r="13" spans="1:4" x14ac:dyDescent="0.25">
      <c r="A13" t="s">
        <v>43</v>
      </c>
      <c r="B13" t="e" vm="43">
        <v>#VALUE!</v>
      </c>
      <c r="C13" s="1" cm="1">
        <f t="array" aca="1" ref="C13" ca="1">_FV(B13,"Price")</f>
        <v>117.91</v>
      </c>
      <c r="D13" s="2" cm="1">
        <f t="array" aca="1" ref="D13" ca="1">_FV(B13,"Change (%)",TRUE)</f>
        <v>-1.5036000000000001E-2</v>
      </c>
    </row>
    <row r="14" spans="1:4" x14ac:dyDescent="0.25">
      <c r="A14" t="s">
        <v>45</v>
      </c>
      <c r="B14" t="e" vm="44">
        <v>#VALUE!</v>
      </c>
      <c r="C14" s="1" cm="1">
        <f t="array" aca="1" ref="C14" ca="1">_FV(B14,"Price")</f>
        <v>19.452500000000001</v>
      </c>
      <c r="D14" s="2" cm="1">
        <f t="array" aca="1" ref="D14" ca="1">_FV(B14,"Change (%)",TRUE)</f>
        <v>1.4271000000000001E-2</v>
      </c>
    </row>
    <row r="15" spans="1:4" x14ac:dyDescent="0.25">
      <c r="A15" t="s">
        <v>31</v>
      </c>
      <c r="B15" t="e" vm="45">
        <v>#VALUE!</v>
      </c>
      <c r="C15" s="1" cm="1">
        <f t="array" aca="1" ref="C15" ca="1">_FV(B15,"Price")</f>
        <v>88.94</v>
      </c>
      <c r="D15" s="2" cm="1">
        <f t="array" aca="1" ref="D15" ca="1">_FV(B15,"Change (%)",TRUE)</f>
        <v>-5.3680000000000004E-3</v>
      </c>
    </row>
    <row r="16" spans="1:4" x14ac:dyDescent="0.25">
      <c r="A16" t="s">
        <v>37</v>
      </c>
      <c r="B16" t="e" vm="46">
        <v>#VALUE!</v>
      </c>
      <c r="C16" s="1" cm="1">
        <f t="array" aca="1" ref="C16" ca="1">_FV(B16,"Price")</f>
        <v>52.69</v>
      </c>
      <c r="D16" s="2" cm="1">
        <f t="array" aca="1" ref="D16" ca="1">_FV(B16,"Change (%)",TRUE)</f>
        <v>-2.2449E-2</v>
      </c>
    </row>
    <row r="17" spans="1:4" x14ac:dyDescent="0.25">
      <c r="A17" t="s">
        <v>34</v>
      </c>
      <c r="B17" t="e" vm="47">
        <v>#VALUE!</v>
      </c>
      <c r="C17" s="1" cm="1">
        <f t="array" aca="1" ref="C17" ca="1">_FV(B17,"Price")</f>
        <v>75.89</v>
      </c>
      <c r="D17" s="2" cm="1">
        <f t="array" aca="1" ref="D17" ca="1">_FV(B17,"Change (%)",TRUE)</f>
        <v>-1.0431999999999999E-2</v>
      </c>
    </row>
    <row r="18" spans="1:4" x14ac:dyDescent="0.25">
      <c r="A18" t="s">
        <v>29</v>
      </c>
      <c r="B18" t="e" vm="48">
        <v>#VALUE!</v>
      </c>
      <c r="C18" s="1" cm="1">
        <f t="array" aca="1" ref="C18" ca="1">_FV(B18,"Price")</f>
        <v>186.53</v>
      </c>
      <c r="D18" s="2" cm="1">
        <f t="array" aca="1" ref="D18" ca="1">_FV(B18,"Change (%)",TRUE)</f>
        <v>-1.7021999999999999E-2</v>
      </c>
    </row>
    <row r="19" spans="1:4" x14ac:dyDescent="0.25">
      <c r="A19" t="s">
        <v>24</v>
      </c>
      <c r="B19" t="e" vm="49">
        <v>#VALUE!</v>
      </c>
      <c r="C19" s="1" cm="1">
        <f t="array" aca="1" ref="C19" ca="1">_FV(B19,"Price")</f>
        <v>61.062399999999997</v>
      </c>
      <c r="D19" s="2" cm="1">
        <f t="array" aca="1" ref="D19" ca="1">_FV(B19,"Change (%)",TRUE)</f>
        <v>-1.392E-3</v>
      </c>
    </row>
    <row r="20" spans="1:4" x14ac:dyDescent="0.25">
      <c r="A20" t="s">
        <v>38</v>
      </c>
      <c r="B20" t="e" vm="50">
        <v>#VALUE!</v>
      </c>
      <c r="C20" s="1" cm="1">
        <f t="array" aca="1" ref="C20" ca="1">_FV(B20,"Price")</f>
        <v>69.489999999999995</v>
      </c>
      <c r="D20" s="2" cm="1">
        <f t="array" aca="1" ref="D20" ca="1">_FV(B20,"Change (%)",TRUE)</f>
        <v>-1.0678E-2</v>
      </c>
    </row>
    <row r="21" spans="1:4" x14ac:dyDescent="0.25">
      <c r="A21" t="s">
        <v>46</v>
      </c>
      <c r="B21" t="e" vm="51">
        <v>#VALUE!</v>
      </c>
      <c r="C21" s="1" cm="1">
        <f t="array" aca="1" ref="C21" ca="1">_FV(B21,"Price")</f>
        <v>229.18</v>
      </c>
      <c r="D21" s="2" cm="1">
        <f t="array" aca="1" ref="D21" ca="1">_FV(B21,"Change (%)",TRUE)</f>
        <v>-6.7179999999999991E-3</v>
      </c>
    </row>
    <row r="22" spans="1:4" x14ac:dyDescent="0.25">
      <c r="A22" t="s">
        <v>33</v>
      </c>
      <c r="B22" t="e" vm="52">
        <v>#VALUE!</v>
      </c>
      <c r="C22" s="1" cm="1">
        <f t="array" aca="1" ref="C22" ca="1">_FV(B22,"Price")</f>
        <v>30.58</v>
      </c>
      <c r="D22" s="2" cm="1">
        <f t="array" aca="1" ref="D22" ca="1">_FV(B22,"Change (%)",TRUE)</f>
        <v>3.9399999999999999E-3</v>
      </c>
    </row>
    <row r="23" spans="1:4" x14ac:dyDescent="0.25">
      <c r="A23" t="s">
        <v>27</v>
      </c>
      <c r="B23" t="e" vm="53">
        <v>#VALUE!</v>
      </c>
      <c r="C23" s="1" cm="1">
        <f t="array" aca="1" ref="C23" ca="1">_FV(B23,"Price")</f>
        <v>178.54499999999999</v>
      </c>
      <c r="D23" s="2" cm="1">
        <f t="array" aca="1" ref="D23" ca="1">_FV(B23,"Change (%)",TRUE)</f>
        <v>6.1709999999999994E-3</v>
      </c>
    </row>
    <row r="24" spans="1:4" x14ac:dyDescent="0.25">
      <c r="A24" t="s">
        <v>44</v>
      </c>
      <c r="B24" t="e" vm="54">
        <v>#VALUE!</v>
      </c>
      <c r="C24" s="1" cm="1">
        <f t="array" aca="1" ref="C24" ca="1">_FV(B24,"Price")</f>
        <v>60.9</v>
      </c>
      <c r="D24" s="2" cm="1">
        <f t="array" aca="1" ref="D24" ca="1">_FV(B24,"Change (%)",TRUE)</f>
        <v>-8.3049999999999999E-3</v>
      </c>
    </row>
    <row r="25" spans="1:4" x14ac:dyDescent="0.25">
      <c r="A25" t="s">
        <v>42</v>
      </c>
      <c r="B25" t="e" vm="55">
        <v>#VALUE!</v>
      </c>
      <c r="C25" s="1" cm="1">
        <f t="array" aca="1" ref="C25" ca="1">_FV(B25,"Price")</f>
        <v>34.25</v>
      </c>
      <c r="D25" s="2" cm="1">
        <f t="array" aca="1" ref="D25" ca="1">_FV(B25,"Change (%)",TRUE)</f>
        <v>-4.3600000000000002E-3</v>
      </c>
    </row>
    <row r="26" spans="1:4" x14ac:dyDescent="0.25">
      <c r="A26" t="s">
        <v>32</v>
      </c>
      <c r="B26" t="e" vm="56">
        <v>#VALUE!</v>
      </c>
      <c r="C26" s="1" cm="1">
        <f t="array" aca="1" ref="C26" ca="1">_FV(B26,"Price")</f>
        <v>270.54000000000002</v>
      </c>
      <c r="D26" s="2" cm="1">
        <f t="array" aca="1" ref="D26" ca="1">_FV(B26,"Change (%)",TRUE)</f>
        <v>2.8910000000000003E-3</v>
      </c>
    </row>
    <row r="27" spans="1:4" x14ac:dyDescent="0.25">
      <c r="A27" t="s">
        <v>47</v>
      </c>
      <c r="B27" t="e" vm="57">
        <v>#VALUE!</v>
      </c>
      <c r="C27" s="1" cm="1">
        <f t="array" aca="1" ref="C27" ca="1">_FV(B27,"Price")</f>
        <v>65.75</v>
      </c>
      <c r="D27" s="2" cm="1">
        <f t="array" aca="1" ref="D27" ca="1">_FV(B27,"Change (%)",TRUE)</f>
        <v>9.1340000000000008E-4</v>
      </c>
    </row>
    <row r="28" spans="1:4" x14ac:dyDescent="0.25">
      <c r="A28" t="s">
        <v>23</v>
      </c>
      <c r="B28" t="e" vm="58">
        <v>#VALUE!</v>
      </c>
      <c r="C28" s="1" cm="1">
        <f t="array" aca="1" ref="C28" ca="1">_FV(B28,"Price")</f>
        <v>136.66</v>
      </c>
      <c r="D28" s="2" cm="1">
        <f t="array" aca="1" ref="D28" ca="1">_FV(B28,"Change (%)",TRUE)</f>
        <v>4.1149999999999997E-3</v>
      </c>
    </row>
    <row r="29" spans="1:4" x14ac:dyDescent="0.25">
      <c r="A29" t="s">
        <v>50</v>
      </c>
      <c r="B29" t="e" vm="59">
        <v>#VALUE!</v>
      </c>
      <c r="C29" s="1" cm="1">
        <f t="array" aca="1" ref="C29" ca="1">_FV(B29,"Price")</f>
        <v>48.54</v>
      </c>
      <c r="D29" s="2" cm="1">
        <f t="array" aca="1" ref="D29" ca="1">_FV(B29,"Change (%)",TRUE)</f>
        <v>-1.4399999999999999E-3</v>
      </c>
    </row>
    <row r="30" spans="1:4" x14ac:dyDescent="0.25">
      <c r="A30" t="s">
        <v>19</v>
      </c>
      <c r="B30" t="e" vm="60">
        <v>#VALUE!</v>
      </c>
      <c r="C30" s="1" cm="1">
        <f t="array" aca="1" ref="C30" ca="1">_FV(B30,"Price")</f>
        <v>91.61</v>
      </c>
      <c r="D30" s="2" cm="1">
        <f t="array" aca="1" ref="D30" ca="1">_FV(B30,"Change (%)",TRUE)</f>
        <v>4.4030000000000007E-3</v>
      </c>
    </row>
    <row r="31" spans="1:4" x14ac:dyDescent="0.25">
      <c r="A31" t="s">
        <v>36</v>
      </c>
      <c r="B31" t="e" vm="61">
        <v>#VALUE!</v>
      </c>
      <c r="C31" s="1" cm="1">
        <f t="array" aca="1" ref="C31" ca="1">_FV(B31,"Price")</f>
        <v>56.46</v>
      </c>
      <c r="D31" s="2" cm="1">
        <f t="array" aca="1" ref="D31" ca="1">_FV(B31,"Change (%)",TRUE)</f>
        <v>-3.1780000000000003E-3</v>
      </c>
    </row>
    <row r="32" spans="1:4" x14ac:dyDescent="0.25">
      <c r="A32" t="s">
        <v>28</v>
      </c>
      <c r="B32" t="e" vm="62">
        <v>#VALUE!</v>
      </c>
      <c r="C32" s="1" cm="1">
        <f t="array" aca="1" ref="C32" ca="1">_FV(B32,"Price")</f>
        <v>187.73419999999999</v>
      </c>
      <c r="D32" s="2" cm="1">
        <f t="array" aca="1" ref="D32" ca="1">_FV(B32,"Change (%)",TRUE)</f>
        <v>-3.3750000000000004E-3</v>
      </c>
    </row>
    <row r="33" spans="1:4" x14ac:dyDescent="0.25">
      <c r="A33" t="s">
        <v>35</v>
      </c>
      <c r="B33" t="e" vm="63">
        <v>#VALUE!</v>
      </c>
      <c r="C33" s="1" cm="1">
        <f t="array" aca="1" ref="C33" ca="1">_FV(B33,"Price")</f>
        <v>50.58</v>
      </c>
      <c r="D33" s="2" cm="1">
        <f t="array" aca="1" ref="D33" ca="1">_FV(B33,"Change (%)",TRUE)</f>
        <v>1.3860000000000001E-3</v>
      </c>
    </row>
    <row r="34" spans="1:4" x14ac:dyDescent="0.25">
      <c r="A34" t="s">
        <v>41</v>
      </c>
      <c r="B34" t="e" vm="64">
        <v>#VALUE!</v>
      </c>
      <c r="C34" s="1" cm="1">
        <f t="array" aca="1" ref="C34" ca="1">_FV(B34,"Price")</f>
        <v>64.11</v>
      </c>
      <c r="D34" s="2" cm="1">
        <f t="array" aca="1" ref="D34" ca="1">_FV(B34,"Change (%)",TRUE)</f>
        <v>-9.3499999999999996E-4</v>
      </c>
    </row>
    <row r="35" spans="1:4" x14ac:dyDescent="0.25">
      <c r="A35" t="s">
        <v>26</v>
      </c>
      <c r="B35" t="e" vm="65">
        <v>#VALUE!</v>
      </c>
      <c r="C35" s="1" cm="1">
        <f t="array" aca="1" ref="C35" ca="1">_FV(B35,"Price")</f>
        <v>4.43</v>
      </c>
      <c r="D35" s="2" cm="1">
        <f t="array" aca="1" ref="D35" ca="1">_FV(B35,"Change (%)",TRUE)</f>
        <v>-6.7259999999999993E-3</v>
      </c>
    </row>
  </sheetData>
  <autoFilter ref="A1:D1" xr:uid="{14A87D3D-2ED3-4447-8941-183FC53E84C1}">
    <sortState xmlns:xlrd2="http://schemas.microsoft.com/office/spreadsheetml/2017/richdata2" ref="A2:D35">
      <sortCondition descending="1" ref="D1"/>
    </sortState>
  </autoFilter>
  <conditionalFormatting sqref="D2:D35">
    <cfRule type="cellIs" dxfId="33" priority="1" operator="greaterThan">
      <formula>0</formula>
    </cfRule>
    <cfRule type="cellIs" dxfId="32" priority="2" operator="lessThan">
      <formula>0</formula>
    </cfRule>
  </conditionalFormatting>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60AA96A-81D6-4BE2-9770-0BD4A66A1284}">
  <dimension ref="A1:D20"/>
  <sheetViews>
    <sheetView workbookViewId="0">
      <selection sqref="A1:XFD1"/>
    </sheetView>
  </sheetViews>
  <sheetFormatPr defaultRowHeight="15" x14ac:dyDescent="0.25"/>
  <cols>
    <col min="2" max="2" width="37.5703125" bestFit="1" customWidth="1"/>
  </cols>
  <sheetData>
    <row r="1" spans="1:4" x14ac:dyDescent="0.25">
      <c r="A1" t="s">
        <v>0</v>
      </c>
      <c r="B1" t="s">
        <v>189</v>
      </c>
      <c r="C1" t="s">
        <v>187</v>
      </c>
      <c r="D1" t="s">
        <v>188</v>
      </c>
    </row>
    <row r="2" spans="1:4" x14ac:dyDescent="0.25">
      <c r="A2" t="s">
        <v>52</v>
      </c>
      <c r="B2" t="e" vm="66">
        <v>#VALUE!</v>
      </c>
      <c r="C2" s="1" cm="1">
        <f t="array" aca="1" ref="C2" ca="1">_FV(B2,"Price")</f>
        <v>140.61000000000001</v>
      </c>
      <c r="D2" s="2" cm="1">
        <f t="array" aca="1" ref="D2" ca="1">_FV(B2,"Change (%)",TRUE)</f>
        <v>-2.3410000000000002E-3</v>
      </c>
    </row>
    <row r="3" spans="1:4" x14ac:dyDescent="0.25">
      <c r="A3" t="s">
        <v>56</v>
      </c>
      <c r="B3" t="e" vm="67">
        <v>#VALUE!</v>
      </c>
      <c r="C3" s="1" cm="1">
        <f t="array" aca="1" ref="C3" ca="1">_FV(B3,"Price")</f>
        <v>49.19</v>
      </c>
      <c r="D3" s="2" cm="1">
        <f t="array" aca="1" ref="D3" ca="1">_FV(B3,"Change (%)",TRUE)</f>
        <v>-4.0489999999999996E-3</v>
      </c>
    </row>
    <row r="4" spans="1:4" x14ac:dyDescent="0.25">
      <c r="A4" t="s">
        <v>59</v>
      </c>
      <c r="B4" t="e" vm="68">
        <v>#VALUE!</v>
      </c>
      <c r="C4" s="1" cm="1">
        <f t="array" aca="1" ref="C4" ca="1">_FV(B4,"Price")</f>
        <v>52.39</v>
      </c>
      <c r="D4" s="2" cm="1">
        <f t="array" aca="1" ref="D4" ca="1">_FV(B4,"Change (%)",TRUE)</f>
        <v>-5.0329999999999993E-3</v>
      </c>
    </row>
    <row r="5" spans="1:4" x14ac:dyDescent="0.25">
      <c r="A5" t="s">
        <v>64</v>
      </c>
      <c r="B5" t="e" vm="69">
        <v>#VALUE!</v>
      </c>
      <c r="C5" s="1" cm="1">
        <f t="array" aca="1" ref="C5" ca="1">_FV(B5,"Price")</f>
        <v>117.84</v>
      </c>
      <c r="D5" s="2" cm="1">
        <f t="array" aca="1" ref="D5" ca="1">_FV(B5,"Change (%)",TRUE)</f>
        <v>-3.3829999999999997E-3</v>
      </c>
    </row>
    <row r="6" spans="1:4" x14ac:dyDescent="0.25">
      <c r="A6" t="s">
        <v>55</v>
      </c>
      <c r="B6" t="e" vm="70">
        <v>#VALUE!</v>
      </c>
      <c r="C6" s="1" cm="1">
        <f t="array" aca="1" ref="C6" ca="1">_FV(B6,"Price")</f>
        <v>122.72499999999999</v>
      </c>
      <c r="D6" s="2" cm="1">
        <f t="array" aca="1" ref="D6" ca="1">_FV(B6,"Change (%)",TRUE)</f>
        <v>-1.1799999999999998E-3</v>
      </c>
    </row>
    <row r="7" spans="1:4" x14ac:dyDescent="0.25">
      <c r="A7" t="s">
        <v>60</v>
      </c>
      <c r="B7" t="e" vm="71">
        <v>#VALUE!</v>
      </c>
      <c r="C7" s="1" cm="1">
        <f t="array" aca="1" ref="C7" ca="1">_FV(B7,"Price")</f>
        <v>61.52</v>
      </c>
      <c r="D7" s="2" cm="1">
        <f t="array" aca="1" ref="D7" ca="1">_FV(B7,"Change (%)",TRUE)</f>
        <v>-6.4600000000000005E-3</v>
      </c>
    </row>
    <row r="8" spans="1:4" x14ac:dyDescent="0.25">
      <c r="A8" t="s">
        <v>5</v>
      </c>
      <c r="B8" t="e" vm="1">
        <v>#VALUE!</v>
      </c>
      <c r="C8" s="1" cm="1">
        <f t="array" aca="1" ref="C8" ca="1">_FV(B8,"Price")</f>
        <v>742.09</v>
      </c>
      <c r="D8" s="2" cm="1">
        <f t="array" aca="1" ref="D8" ca="1">_FV(B8,"Change (%)",TRUE)</f>
        <v>-1.614E-3</v>
      </c>
    </row>
    <row r="9" spans="1:4" x14ac:dyDescent="0.25">
      <c r="A9" t="s">
        <v>51</v>
      </c>
      <c r="B9" t="e" vm="72">
        <v>#VALUE!</v>
      </c>
      <c r="C9" s="1" cm="1">
        <f t="array" aca="1" ref="C9" ca="1">_FV(B9,"Price")</f>
        <v>422.4</v>
      </c>
      <c r="D9" s="2" cm="1">
        <f t="array" aca="1" ref="D9" ca="1">_FV(B9,"Change (%)",TRUE)</f>
        <v>-2.385E-3</v>
      </c>
    </row>
    <row r="10" spans="1:4" x14ac:dyDescent="0.25">
      <c r="A10" t="s">
        <v>67</v>
      </c>
      <c r="B10" t="e" vm="73">
        <v>#VALUE!</v>
      </c>
      <c r="C10" s="1" cm="1">
        <f t="array" aca="1" ref="C10" ca="1">_FV(B10,"Price")</f>
        <v>56.515000000000001</v>
      </c>
      <c r="D10" s="2" cm="1">
        <f t="array" aca="1" ref="D10" ca="1">_FV(B10,"Change (%)",TRUE)</f>
        <v>-7.2899999999999996E-3</v>
      </c>
    </row>
    <row r="11" spans="1:4" x14ac:dyDescent="0.25">
      <c r="A11" t="s">
        <v>65</v>
      </c>
      <c r="B11" t="e" vm="74">
        <v>#VALUE!</v>
      </c>
      <c r="C11" s="1" cm="1">
        <f t="array" aca="1" ref="C11" ca="1">_FV(B11,"Price")</f>
        <v>65.119699999999995</v>
      </c>
      <c r="D11" s="2" cm="1">
        <f t="array" aca="1" ref="D11" ca="1">_FV(B11,"Change (%)",TRUE)</f>
        <v>-1.712E-3</v>
      </c>
    </row>
    <row r="12" spans="1:4" x14ac:dyDescent="0.25">
      <c r="A12" t="s">
        <v>62</v>
      </c>
      <c r="B12" t="e" vm="75">
        <v>#VALUE!</v>
      </c>
      <c r="C12" s="1" cm="1">
        <f t="array" aca="1" ref="C12" ca="1">_FV(B12,"Price")</f>
        <v>212.42</v>
      </c>
      <c r="D12" s="2" cm="1">
        <f t="array" aca="1" ref="D12" ca="1">_FV(B12,"Change (%)",TRUE)</f>
        <v>-4.4520000000000002E-3</v>
      </c>
    </row>
    <row r="13" spans="1:4" x14ac:dyDescent="0.25">
      <c r="A13" t="s">
        <v>57</v>
      </c>
      <c r="B13" t="e" vm="76">
        <v>#VALUE!</v>
      </c>
      <c r="C13" s="1" cm="1">
        <f t="array" aca="1" ref="C13" ca="1">_FV(B13,"Price")</f>
        <v>144.52000000000001</v>
      </c>
      <c r="D13" s="2" cm="1">
        <f t="array" aca="1" ref="D13" ca="1">_FV(B13,"Change (%)",TRUE)</f>
        <v>4.3779999999999999E-3</v>
      </c>
    </row>
    <row r="14" spans="1:4" x14ac:dyDescent="0.25">
      <c r="A14" t="s">
        <v>61</v>
      </c>
      <c r="B14" t="e" vm="77">
        <v>#VALUE!</v>
      </c>
      <c r="C14" s="1" cm="1">
        <f t="array" aca="1" ref="C14" ca="1">_FV(B14,"Price")</f>
        <v>129.78</v>
      </c>
      <c r="D14" s="2" cm="1">
        <f t="array" aca="1" ref="D14" ca="1">_FV(B14,"Change (%)",TRUE)</f>
        <v>-4.2199999999999998E-3</v>
      </c>
    </row>
    <row r="15" spans="1:4" x14ac:dyDescent="0.25">
      <c r="A15" t="s">
        <v>68</v>
      </c>
      <c r="B15" t="e" vm="78">
        <v>#VALUE!</v>
      </c>
      <c r="C15" s="1" cm="1">
        <f t="array" aca="1" ref="C15" ca="1">_FV(B15,"Price")</f>
        <v>143.5635</v>
      </c>
      <c r="D15" s="2" cm="1">
        <f t="array" aca="1" ref="D15" ca="1">_FV(B15,"Change (%)",TRUE)</f>
        <v>-5.0270000000000002E-3</v>
      </c>
    </row>
    <row r="16" spans="1:4" x14ac:dyDescent="0.25">
      <c r="A16" t="s">
        <v>66</v>
      </c>
      <c r="B16" t="e" vm="79">
        <v>#VALUE!</v>
      </c>
      <c r="C16" s="1" cm="1">
        <f t="array" aca="1" ref="C16" ca="1">_FV(B16,"Price")</f>
        <v>76.266499999999994</v>
      </c>
      <c r="D16" s="2" cm="1">
        <f t="array" aca="1" ref="D16" ca="1">_FV(B16,"Change (%)",TRUE)</f>
        <v>-4.3540000000000002E-3</v>
      </c>
    </row>
    <row r="17" spans="1:4" x14ac:dyDescent="0.25">
      <c r="A17" t="s">
        <v>54</v>
      </c>
      <c r="B17" t="e" vm="80">
        <v>#VALUE!</v>
      </c>
      <c r="C17" s="1" cm="1">
        <f t="array" aca="1" ref="C17" ca="1">_FV(B17,"Price")</f>
        <v>216.91</v>
      </c>
      <c r="D17" s="2" cm="1">
        <f t="array" aca="1" ref="D17" ca="1">_FV(B17,"Change (%)",TRUE)</f>
        <v>-4.4060000000000002E-3</v>
      </c>
    </row>
    <row r="18" spans="1:4" x14ac:dyDescent="0.25">
      <c r="A18" t="s">
        <v>58</v>
      </c>
      <c r="B18" t="e" vm="81">
        <v>#VALUE!</v>
      </c>
      <c r="C18" s="1" cm="1">
        <f t="array" aca="1" ref="C18" ca="1">_FV(B18,"Price")</f>
        <v>56.64</v>
      </c>
      <c r="D18" s="2" cm="1">
        <f t="array" aca="1" ref="D18" ca="1">_FV(B18,"Change (%)",TRUE)</f>
        <v>3.3660000000000001E-3</v>
      </c>
    </row>
    <row r="19" spans="1:4" x14ac:dyDescent="0.25">
      <c r="A19" t="s">
        <v>53</v>
      </c>
      <c r="B19" t="e" vm="82">
        <v>#VALUE!</v>
      </c>
      <c r="C19" s="1" cm="1">
        <f t="array" aca="1" ref="C19" ca="1">_FV(B19,"Price")</f>
        <v>47.752600000000001</v>
      </c>
      <c r="D19" s="2" cm="1">
        <f t="array" aca="1" ref="D19" ca="1">_FV(B19,"Change (%)",TRUE)</f>
        <v>-5.0130000000000001E-3</v>
      </c>
    </row>
    <row r="20" spans="1:4" x14ac:dyDescent="0.25">
      <c r="A20" t="s">
        <v>63</v>
      </c>
      <c r="B20" t="e" vm="83">
        <v>#VALUE!</v>
      </c>
      <c r="C20" s="1" cm="1">
        <f t="array" aca="1" ref="C20" ca="1">_FV(B20,"Price")</f>
        <v>76.09</v>
      </c>
      <c r="D20" s="2" cm="1">
        <f t="array" aca="1" ref="D20" ca="1">_FV(B20,"Change (%)",TRUE)</f>
        <v>-4.4349999999999997E-3</v>
      </c>
    </row>
  </sheetData>
  <autoFilter ref="A1:D1" xr:uid="{160AA96A-81D6-4BE2-9770-0BD4A66A1284}">
    <sortState xmlns:xlrd2="http://schemas.microsoft.com/office/spreadsheetml/2017/richdata2" ref="A2:D20">
      <sortCondition descending="1" ref="D1"/>
    </sortState>
  </autoFilter>
  <conditionalFormatting sqref="D2:D20">
    <cfRule type="cellIs" dxfId="31" priority="1" operator="greaterThan">
      <formula>0</formula>
    </cfRule>
    <cfRule type="cellIs" dxfId="30" priority="2" operator="lessThan">
      <formula>0</formula>
    </cfRule>
  </conditionalFormatting>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AA68628-B279-4CD1-9B6E-A6D6D959BE04}">
  <dimension ref="A1:D8"/>
  <sheetViews>
    <sheetView tabSelected="1" workbookViewId="0">
      <selection activeCell="A2" sqref="A2:A8"/>
    </sheetView>
  </sheetViews>
  <sheetFormatPr defaultRowHeight="15" x14ac:dyDescent="0.25"/>
  <cols>
    <col min="2" max="2" width="39.5703125" bestFit="1" customWidth="1"/>
  </cols>
  <sheetData>
    <row r="1" spans="1:4" x14ac:dyDescent="0.25">
      <c r="A1" t="s">
        <v>0</v>
      </c>
      <c r="B1" t="s">
        <v>189</v>
      </c>
      <c r="C1" t="s">
        <v>187</v>
      </c>
      <c r="D1" t="s">
        <v>188</v>
      </c>
    </row>
    <row r="2" spans="1:4" x14ac:dyDescent="0.25">
      <c r="A2" t="s">
        <v>69</v>
      </c>
      <c r="B2" t="e" vm="84">
        <v>#VALUE!</v>
      </c>
      <c r="C2" s="1" cm="1">
        <f t="array" aca="1" ref="C2" ca="1">_FV(B2,"Price")</f>
        <v>369.57</v>
      </c>
      <c r="D2" s="2" cm="1">
        <f t="array" aca="1" ref="D2" ca="1">_FV(B2,"Change (%)",TRUE)</f>
        <v>-2.9592E-2</v>
      </c>
    </row>
    <row r="3" spans="1:4" x14ac:dyDescent="0.25">
      <c r="A3" t="s">
        <v>70</v>
      </c>
      <c r="B3" t="e" vm="85">
        <v>#VALUE!</v>
      </c>
      <c r="C3" s="1" cm="1">
        <f t="array" aca="1" ref="C3" ca="1">_FV(B3,"Price")</f>
        <v>351.37</v>
      </c>
      <c r="D3" s="2" cm="1">
        <f t="array" aca="1" ref="D3" ca="1">_FV(B3,"Change (%)",TRUE)</f>
        <v>1.5167999999999999E-2</v>
      </c>
    </row>
    <row r="4" spans="1:4" x14ac:dyDescent="0.25">
      <c r="A4" t="s">
        <v>75</v>
      </c>
      <c r="B4" t="e" vm="86">
        <v>#VALUE!</v>
      </c>
      <c r="C4" s="1" cm="1">
        <f t="array" aca="1" ref="C4" ca="1">_FV(B4,"Price")</f>
        <v>249.99</v>
      </c>
      <c r="D4" s="2" cm="1">
        <f t="array" aca="1" ref="D4" ca="1">_FV(B4,"Change (%)",TRUE)</f>
        <v>1.1164E-2</v>
      </c>
    </row>
    <row r="5" spans="1:4" x14ac:dyDescent="0.25">
      <c r="A5" t="s">
        <v>72</v>
      </c>
      <c r="B5" t="e" vm="87">
        <v>#VALUE!</v>
      </c>
      <c r="C5" s="1" cm="1">
        <f t="array" aca="1" ref="C5" ca="1">_FV(B5,"Price")</f>
        <v>203.28</v>
      </c>
      <c r="D5" s="2" cm="1">
        <f t="array" aca="1" ref="D5" ca="1">_FV(B5,"Change (%)",TRUE)</f>
        <v>2.317E-3</v>
      </c>
    </row>
    <row r="6" spans="1:4" x14ac:dyDescent="0.25">
      <c r="A6" t="s">
        <v>73</v>
      </c>
      <c r="B6" t="e" vm="88">
        <v>#VALUE!</v>
      </c>
      <c r="C6" s="1" cm="1">
        <f t="array" aca="1" ref="C6" ca="1">_FV(B6,"Price")</f>
        <v>402.29</v>
      </c>
      <c r="D6" s="2" cm="1">
        <f t="array" aca="1" ref="D6" ca="1">_FV(B6,"Change (%)",TRUE)</f>
        <v>2.1507000000000002E-2</v>
      </c>
    </row>
    <row r="7" spans="1:4" x14ac:dyDescent="0.25">
      <c r="A7" t="s">
        <v>74</v>
      </c>
      <c r="B7" t="e" vm="89">
        <v>#VALUE!</v>
      </c>
      <c r="C7" s="1" cm="1">
        <f t="array" aca="1" ref="C7" ca="1">_FV(B7,"Price")</f>
        <v>645.85</v>
      </c>
      <c r="D7" s="2" cm="1">
        <f t="array" aca="1" ref="D7" ca="1">_FV(B7,"Change (%)",TRUE)</f>
        <v>-2.477E-4</v>
      </c>
    </row>
    <row r="8" spans="1:4" x14ac:dyDescent="0.25">
      <c r="A8" t="s">
        <v>71</v>
      </c>
      <c r="B8" t="e" vm="90">
        <v>#VALUE!</v>
      </c>
      <c r="C8" s="1" cm="1">
        <f t="array" aca="1" ref="C8" ca="1">_FV(B8,"Price")</f>
        <v>326.58999999999997</v>
      </c>
      <c r="D8" s="2" cm="1">
        <f t="array" aca="1" ref="D8" ca="1">_FV(B8,"Change (%)",TRUE)</f>
        <v>-2.1423999999999999E-2</v>
      </c>
    </row>
  </sheetData>
  <autoFilter ref="A1:D1" xr:uid="{DAA68628-B279-4CD1-9B6E-A6D6D959BE04}">
    <sortState xmlns:xlrd2="http://schemas.microsoft.com/office/spreadsheetml/2017/richdata2" ref="A2:D8">
      <sortCondition descending="1" ref="D1"/>
    </sortState>
  </autoFilter>
  <conditionalFormatting sqref="D2:D8">
    <cfRule type="cellIs" dxfId="29" priority="1" operator="greaterThan">
      <formula>0</formula>
    </cfRule>
    <cfRule type="cellIs" dxfId="28" priority="2" operator="lessThan">
      <formula>0</formula>
    </cfRule>
  </conditionalFormatting>
  <pageMargins left="0.7" right="0.7" top="0.75" bottom="0.75" header="0.3" footer="0.3"/>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3C90A14-F89B-4DC4-A2AB-BF3E94913A6C}">
  <dimension ref="A1:D7"/>
  <sheetViews>
    <sheetView zoomScaleNormal="100" workbookViewId="0">
      <selection sqref="A1:XFD1"/>
    </sheetView>
  </sheetViews>
  <sheetFormatPr defaultRowHeight="15" x14ac:dyDescent="0.25"/>
  <cols>
    <col min="2" max="2" width="34.140625" bestFit="1" customWidth="1"/>
  </cols>
  <sheetData>
    <row r="1" spans="1:4" x14ac:dyDescent="0.25">
      <c r="A1" t="s">
        <v>0</v>
      </c>
      <c r="B1" t="s">
        <v>189</v>
      </c>
      <c r="C1" t="s">
        <v>187</v>
      </c>
      <c r="D1" t="s">
        <v>188</v>
      </c>
    </row>
    <row r="2" spans="1:4" x14ac:dyDescent="0.25">
      <c r="A2" t="s">
        <v>78</v>
      </c>
      <c r="B2" t="e" vm="91">
        <v>#VALUE!</v>
      </c>
      <c r="C2" s="1" cm="1">
        <f t="array" aca="1" ref="C2" ca="1">_FV(B2,"Price")</f>
        <v>135.97</v>
      </c>
      <c r="D2" s="2" cm="1">
        <f t="array" aca="1" ref="D2" ca="1">_FV(B2,"Change (%)",TRUE)</f>
        <v>-7.0830000000000008E-3</v>
      </c>
    </row>
    <row r="3" spans="1:4" x14ac:dyDescent="0.25">
      <c r="A3" t="s">
        <v>80</v>
      </c>
      <c r="B3" t="e" vm="92">
        <v>#VALUE!</v>
      </c>
      <c r="C3" s="1" cm="1">
        <f t="array" aca="1" ref="C3" ca="1">_FV(B3,"Price")</f>
        <v>171.78</v>
      </c>
      <c r="D3" s="2" cm="1">
        <f t="array" aca="1" ref="D3" ca="1">_FV(B3,"Change (%)",TRUE)</f>
        <v>-6.3629999999999997E-3</v>
      </c>
    </row>
    <row r="4" spans="1:4" x14ac:dyDescent="0.25">
      <c r="A4" t="s">
        <v>79</v>
      </c>
      <c r="B4" t="e" vm="93">
        <v>#VALUE!</v>
      </c>
      <c r="C4" s="1" cm="1">
        <f t="array" aca="1" ref="C4" ca="1">_FV(B4,"Price")</f>
        <v>146.59</v>
      </c>
      <c r="D4" s="2" cm="1">
        <f t="array" aca="1" ref="D4" ca="1">_FV(B4,"Change (%)",TRUE)</f>
        <v>-1.0663000000000001E-2</v>
      </c>
    </row>
    <row r="5" spans="1:4" x14ac:dyDescent="0.25">
      <c r="A5" t="s">
        <v>77</v>
      </c>
      <c r="B5" t="e" vm="94">
        <v>#VALUE!</v>
      </c>
      <c r="C5" s="1" cm="1">
        <f t="array" aca="1" ref="C5" ca="1">_FV(B5,"Price")</f>
        <v>229.73</v>
      </c>
      <c r="D5" s="2" cm="1">
        <f t="array" aca="1" ref="D5" ca="1">_FV(B5,"Change (%)",TRUE)</f>
        <v>-6.1429999999999992E-3</v>
      </c>
    </row>
    <row r="6" spans="1:4" x14ac:dyDescent="0.25">
      <c r="A6" t="s">
        <v>76</v>
      </c>
      <c r="B6" t="e" vm="95">
        <v>#VALUE!</v>
      </c>
      <c r="C6" s="1" cm="1">
        <f t="array" aca="1" ref="C6" ca="1">_FV(B6,"Price")</f>
        <v>134.69</v>
      </c>
      <c r="D6" s="2" cm="1">
        <f t="array" aca="1" ref="D6" ca="1">_FV(B6,"Change (%)",TRUE)</f>
        <v>3.2029999999999997E-3</v>
      </c>
    </row>
    <row r="7" spans="1:4" x14ac:dyDescent="0.25">
      <c r="A7" t="s">
        <v>81</v>
      </c>
      <c r="B7" t="e" vm="96">
        <v>#VALUE!</v>
      </c>
      <c r="C7" s="1" cm="1">
        <f t="array" aca="1" ref="C7" ca="1">_FV(B7,"Price")</f>
        <v>111.88</v>
      </c>
      <c r="D7" s="2" cm="1">
        <f t="array" aca="1" ref="D7" ca="1">_FV(B7,"Change (%)",TRUE)</f>
        <v>-4.6259999999999999E-3</v>
      </c>
    </row>
  </sheetData>
  <autoFilter ref="A1:D1" xr:uid="{D3C90A14-F89B-4DC4-A2AB-BF3E94913A6C}">
    <sortState xmlns:xlrd2="http://schemas.microsoft.com/office/spreadsheetml/2017/richdata2" ref="A2:D7">
      <sortCondition descending="1" ref="D1"/>
    </sortState>
  </autoFilter>
  <conditionalFormatting sqref="D2:D7">
    <cfRule type="cellIs" dxfId="27" priority="1" operator="greaterThan">
      <formula>0</formula>
    </cfRule>
    <cfRule type="cellIs" dxfId="26" priority="2" operator="lessThan">
      <formula>0</formula>
    </cfRule>
  </conditionalFormatting>
  <pageMargins left="0.7" right="0.7" top="0.75" bottom="0.75" header="0.3" footer="0.3"/>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6876D0B-5518-4F2A-A133-1E511EB98FBD}">
  <dimension ref="A1:D8"/>
  <sheetViews>
    <sheetView workbookViewId="0">
      <selection activeCell="A3" sqref="A3:XFD3"/>
    </sheetView>
  </sheetViews>
  <sheetFormatPr defaultRowHeight="15" x14ac:dyDescent="0.25"/>
  <cols>
    <col min="2" max="2" width="36.42578125" bestFit="1" customWidth="1"/>
  </cols>
  <sheetData>
    <row r="1" spans="1:4" x14ac:dyDescent="0.25">
      <c r="A1" t="s">
        <v>0</v>
      </c>
      <c r="B1" t="s">
        <v>189</v>
      </c>
      <c r="C1" t="s">
        <v>187</v>
      </c>
      <c r="D1" t="s">
        <v>188</v>
      </c>
    </row>
    <row r="2" spans="1:4" x14ac:dyDescent="0.25">
      <c r="A2" t="s">
        <v>82</v>
      </c>
      <c r="B2" t="e" vm="97">
        <v>#VALUE!</v>
      </c>
      <c r="C2" s="1" cm="1">
        <f t="array" aca="1" ref="C2" ca="1">_FV(B2,"Price")</f>
        <v>69.87</v>
      </c>
      <c r="D2" s="2" cm="1">
        <f t="array" aca="1" ref="D2" ca="1">_FV(B2,"Change (%)",TRUE)</f>
        <v>1.2608999999999999E-2</v>
      </c>
    </row>
    <row r="3" spans="1:4" x14ac:dyDescent="0.25">
      <c r="A3" t="s">
        <v>84</v>
      </c>
      <c r="B3" t="e" vm="98">
        <v>#VALUE!</v>
      </c>
      <c r="C3" s="1" cm="1">
        <f t="array" aca="1" ref="C3" ca="1">_FV(B3,"Price")</f>
        <v>68.760000000000005</v>
      </c>
      <c r="D3" s="2" cm="1">
        <f t="array" aca="1" ref="D3" ca="1">_FV(B3,"Change (%)",TRUE)</f>
        <v>-1.7995000000000001E-2</v>
      </c>
    </row>
    <row r="4" spans="1:4" x14ac:dyDescent="0.25">
      <c r="A4" t="s">
        <v>194</v>
      </c>
      <c r="B4" t="e" vm="99">
        <v>#VALUE!</v>
      </c>
      <c r="C4" s="1" cm="1">
        <f t="array" aca="1" ref="C4" ca="1">_FV(B4,"Price")</f>
        <v>54.89</v>
      </c>
      <c r="D4" s="2" cm="1">
        <f t="array" aca="1" ref="D4" ca="1">_FV(B4,"Change (%)",TRUE)</f>
        <v>2.0080000000000002E-3</v>
      </c>
    </row>
    <row r="5" spans="1:4" x14ac:dyDescent="0.25">
      <c r="A5" t="s">
        <v>87</v>
      </c>
      <c r="B5" t="e" vm="100">
        <v>#VALUE!</v>
      </c>
      <c r="C5" s="1" cm="1">
        <f t="array" aca="1" ref="C5" ca="1">_FV(B5,"Price")</f>
        <v>68.03</v>
      </c>
      <c r="D5" s="2" cm="1">
        <f t="array" aca="1" ref="D5" ca="1">_FV(B5,"Change (%)",TRUE)</f>
        <v>-2.5219000000000002E-2</v>
      </c>
    </row>
    <row r="6" spans="1:4" x14ac:dyDescent="0.25">
      <c r="A6" t="s">
        <v>83</v>
      </c>
      <c r="B6" t="e" vm="101">
        <v>#VALUE!</v>
      </c>
      <c r="C6" s="1" cm="1">
        <f t="array" aca="1" ref="C6" ca="1">_FV(B6,"Price")</f>
        <v>67.650000000000006</v>
      </c>
      <c r="D6" s="2" cm="1">
        <f t="array" aca="1" ref="D6" ca="1">_FV(B6,"Change (%)",TRUE)</f>
        <v>1.7769999999999999E-3</v>
      </c>
    </row>
    <row r="7" spans="1:4" x14ac:dyDescent="0.25">
      <c r="A7" t="s">
        <v>85</v>
      </c>
      <c r="B7" t="e" vm="102">
        <v>#VALUE!</v>
      </c>
      <c r="C7" s="1" cm="1">
        <f t="array" aca="1" ref="C7" ca="1">_FV(B7,"Price")</f>
        <v>264.54000000000002</v>
      </c>
      <c r="D7" s="2" cm="1">
        <f t="array" aca="1" ref="D7" ca="1">_FV(B7,"Change (%)",TRUE)</f>
        <v>-4.4779999999999993E-3</v>
      </c>
    </row>
    <row r="8" spans="1:4" x14ac:dyDescent="0.25">
      <c r="A8" t="s">
        <v>86</v>
      </c>
      <c r="B8" t="e" vm="103">
        <v>#VALUE!</v>
      </c>
      <c r="C8" s="1" cm="1">
        <f t="array" aca="1" ref="C8" ca="1">_FV(B8,"Price")</f>
        <v>67.98</v>
      </c>
      <c r="D8" s="2" cm="1">
        <f t="array" aca="1" ref="D8" ca="1">_FV(B8,"Change (%)",TRUE)</f>
        <v>-1.7346E-2</v>
      </c>
    </row>
  </sheetData>
  <autoFilter ref="A1:D1" xr:uid="{16876D0B-5518-4F2A-A133-1E511EB98FBD}">
    <sortState xmlns:xlrd2="http://schemas.microsoft.com/office/spreadsheetml/2017/richdata2" ref="A2:D8">
      <sortCondition descending="1" ref="D1"/>
    </sortState>
  </autoFilter>
  <conditionalFormatting sqref="D2:D8">
    <cfRule type="cellIs" dxfId="25" priority="1" operator="greaterThan">
      <formula>0</formula>
    </cfRule>
    <cfRule type="cellIs" dxfId="24" priority="2" operator="lessThan">
      <formula>0</formula>
    </cfRule>
  </conditionalFormatting>
  <pageMargins left="0.7" right="0.7" top="0.75" bottom="0.75" header="0.3" footer="0.3"/>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C84653D-993B-4C87-A16F-4C55473FC2E8}">
  <dimension ref="A1:D7"/>
  <sheetViews>
    <sheetView workbookViewId="0">
      <selection sqref="A1:XFD1"/>
    </sheetView>
  </sheetViews>
  <sheetFormatPr defaultRowHeight="15" x14ac:dyDescent="0.25"/>
  <cols>
    <col min="2" max="2" width="34.42578125" bestFit="1" customWidth="1"/>
  </cols>
  <sheetData>
    <row r="1" spans="1:4" x14ac:dyDescent="0.25">
      <c r="A1" t="s">
        <v>0</v>
      </c>
      <c r="B1" t="s">
        <v>189</v>
      </c>
      <c r="C1" t="s">
        <v>187</v>
      </c>
      <c r="D1" t="s">
        <v>188</v>
      </c>
    </row>
    <row r="2" spans="1:4" x14ac:dyDescent="0.25">
      <c r="A2" t="s">
        <v>91</v>
      </c>
      <c r="B2" t="e" vm="104">
        <v>#VALUE!</v>
      </c>
      <c r="C2" s="1" cm="1">
        <f t="array" aca="1" ref="C2" ca="1">_FV(B2,"Price")</f>
        <v>135.31</v>
      </c>
      <c r="D2" s="2" cm="1">
        <f t="array" aca="1" ref="D2" ca="1">_FV(B2,"Change (%)",TRUE)</f>
        <v>-7.6619999999999995E-3</v>
      </c>
    </row>
    <row r="3" spans="1:4" x14ac:dyDescent="0.25">
      <c r="A3" t="s">
        <v>88</v>
      </c>
      <c r="B3" t="e" vm="105">
        <v>#VALUE!</v>
      </c>
      <c r="C3" s="1" cm="1">
        <f t="array" aca="1" ref="C3" ca="1">_FV(B3,"Price")</f>
        <v>52.896599999999999</v>
      </c>
      <c r="D3" s="2" cm="1">
        <f t="array" aca="1" ref="D3" ca="1">_FV(B3,"Change (%)",TRUE)</f>
        <v>2.209E-3</v>
      </c>
    </row>
    <row r="4" spans="1:4" x14ac:dyDescent="0.25">
      <c r="A4" t="s">
        <v>89</v>
      </c>
      <c r="B4" t="e" vm="106">
        <v>#VALUE!</v>
      </c>
      <c r="C4" s="1" cm="1">
        <f t="array" aca="1" ref="C4" ca="1">_FV(B4,"Price")</f>
        <v>57.524000000000001</v>
      </c>
      <c r="D4" s="2" cm="1">
        <f t="array" aca="1" ref="D4" ca="1">_FV(B4,"Change (%)",TRUE)</f>
        <v>-1.6851999999999999E-2</v>
      </c>
    </row>
    <row r="5" spans="1:4" x14ac:dyDescent="0.25">
      <c r="A5" t="s">
        <v>54</v>
      </c>
      <c r="B5" t="e" vm="80">
        <v>#VALUE!</v>
      </c>
      <c r="C5" s="1" cm="1">
        <f t="array" aca="1" ref="C5" ca="1">_FV(B5,"Price")</f>
        <v>216.91</v>
      </c>
      <c r="D5" s="2" cm="1">
        <f t="array" aca="1" ref="D5" ca="1">_FV(B5,"Change (%)",TRUE)</f>
        <v>-4.4060000000000002E-3</v>
      </c>
    </row>
    <row r="6" spans="1:4" x14ac:dyDescent="0.25">
      <c r="A6" t="s">
        <v>68</v>
      </c>
      <c r="B6" t="e" vm="78">
        <v>#VALUE!</v>
      </c>
      <c r="C6" s="1" cm="1">
        <f t="array" aca="1" ref="C6" ca="1">_FV(B6,"Price")</f>
        <v>143.5635</v>
      </c>
      <c r="D6" s="2" cm="1">
        <f t="array" aca="1" ref="D6" ca="1">_FV(B6,"Change (%)",TRUE)</f>
        <v>-5.0270000000000002E-3</v>
      </c>
    </row>
    <row r="7" spans="1:4" x14ac:dyDescent="0.25">
      <c r="A7" t="s">
        <v>90</v>
      </c>
      <c r="B7" t="e" vm="107">
        <v>#VALUE!</v>
      </c>
      <c r="C7" s="1" cm="1">
        <f t="array" aca="1" ref="C7" ca="1">_FV(B7,"Price")</f>
        <v>67.138099999999994</v>
      </c>
      <c r="D7" s="2" cm="1">
        <f t="array" aca="1" ref="D7" ca="1">_FV(B7,"Change (%)",TRUE)</f>
        <v>-7.4980000000000003E-3</v>
      </c>
    </row>
  </sheetData>
  <autoFilter ref="A1:D1" xr:uid="{0C84653D-993B-4C87-A16F-4C55473FC2E8}">
    <sortState xmlns:xlrd2="http://schemas.microsoft.com/office/spreadsheetml/2017/richdata2" ref="A2:D7">
      <sortCondition descending="1" ref="D1"/>
    </sortState>
  </autoFilter>
  <conditionalFormatting sqref="D2:D7">
    <cfRule type="cellIs" dxfId="23" priority="1" operator="greaterThan">
      <formula>0</formula>
    </cfRule>
    <cfRule type="cellIs" dxfId="22" priority="2" operator="lessThan">
      <formula>0</formula>
    </cfRule>
  </conditionalFormatting>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7ADC68C-381E-4D36-B0EC-FC873087CD67}">
  <dimension ref="A1:D18"/>
  <sheetViews>
    <sheetView workbookViewId="0">
      <selection sqref="A1:XFD1"/>
    </sheetView>
  </sheetViews>
  <sheetFormatPr defaultRowHeight="15" x14ac:dyDescent="0.25"/>
  <cols>
    <col min="2" max="2" width="38.140625" bestFit="1" customWidth="1"/>
  </cols>
  <sheetData>
    <row r="1" spans="1:4" x14ac:dyDescent="0.25">
      <c r="A1" t="s">
        <v>0</v>
      </c>
      <c r="B1" t="s">
        <v>189</v>
      </c>
      <c r="C1" t="s">
        <v>187</v>
      </c>
      <c r="D1" t="s">
        <v>188</v>
      </c>
    </row>
    <row r="2" spans="1:4" x14ac:dyDescent="0.25">
      <c r="A2" t="s">
        <v>97</v>
      </c>
      <c r="B2" t="e" vm="108">
        <v>#VALUE!</v>
      </c>
      <c r="C2" s="1" cm="1">
        <f t="array" aca="1" ref="C2" ca="1">_FV(B2,"Price")</f>
        <v>107.15</v>
      </c>
      <c r="D2" s="2" cm="1">
        <f t="array" aca="1" ref="D2" ca="1">_FV(B2,"Change (%)",TRUE)</f>
        <v>-3.8119999999999999E-3</v>
      </c>
    </row>
    <row r="3" spans="1:4" x14ac:dyDescent="0.25">
      <c r="A3" t="s">
        <v>98</v>
      </c>
      <c r="B3" t="e" vm="109">
        <v>#VALUE!</v>
      </c>
      <c r="C3" s="1" cm="1">
        <f t="array" aca="1" ref="C3" ca="1">_FV(B3,"Price")</f>
        <v>30.32</v>
      </c>
      <c r="D3" s="2" cm="1">
        <f t="array" aca="1" ref="D3" ca="1">_FV(B3,"Change (%)",TRUE)</f>
        <v>-9.8850000000000001E-4</v>
      </c>
    </row>
    <row r="4" spans="1:4" x14ac:dyDescent="0.25">
      <c r="A4" t="s">
        <v>108</v>
      </c>
      <c r="B4" t="e" vm="110">
        <v>#VALUE!</v>
      </c>
      <c r="C4" s="1" cm="1">
        <f t="array" aca="1" ref="C4" ca="1">_FV(B4,"Price")</f>
        <v>106.4</v>
      </c>
      <c r="D4" s="2" cm="1">
        <f t="array" aca="1" ref="D4" ca="1">_FV(B4,"Change (%)",TRUE)</f>
        <v>-1.689E-3</v>
      </c>
    </row>
    <row r="5" spans="1:4" x14ac:dyDescent="0.25">
      <c r="A5" t="s">
        <v>96</v>
      </c>
      <c r="B5" t="e" vm="111">
        <v>#VALUE!</v>
      </c>
      <c r="C5" s="1" cm="1">
        <f t="array" aca="1" ref="C5" ca="1">_FV(B5,"Price")</f>
        <v>95.37</v>
      </c>
      <c r="D5" s="2" cm="1">
        <f t="array" aca="1" ref="D5" ca="1">_FV(B5,"Change (%)",TRUE)</f>
        <v>-1.6750000000000001E-3</v>
      </c>
    </row>
    <row r="6" spans="1:4" x14ac:dyDescent="0.25">
      <c r="A6" t="s">
        <v>99</v>
      </c>
      <c r="B6" t="e" vm="5">
        <v>#VALUE!</v>
      </c>
      <c r="C6" s="1" cm="1">
        <f t="array" aca="1" ref="C6" ca="1">_FV(B6,"Price")</f>
        <v>93.54</v>
      </c>
      <c r="D6" s="2" cm="1">
        <f t="array" aca="1" ref="D6" ca="1">_FV(B6,"Change (%)",TRUE)</f>
        <v>-3.1969999999999998E-3</v>
      </c>
    </row>
    <row r="7" spans="1:4" x14ac:dyDescent="0.25">
      <c r="A7" t="s">
        <v>106</v>
      </c>
      <c r="B7" t="e" vm="112">
        <v>#VALUE!</v>
      </c>
      <c r="C7" s="1" cm="1">
        <f t="array" aca="1" ref="C7" ca="1">_FV(B7,"Price")</f>
        <v>47.82</v>
      </c>
      <c r="D7" s="2" cm="1">
        <f t="array" aca="1" ref="D7" ca="1">_FV(B7,"Change (%)",TRUE)</f>
        <v>-2.2950000000000002E-3</v>
      </c>
    </row>
    <row r="8" spans="1:4" x14ac:dyDescent="0.25">
      <c r="A8" t="s">
        <v>94</v>
      </c>
      <c r="B8" t="e" vm="113">
        <v>#VALUE!</v>
      </c>
      <c r="C8" s="1" cm="1">
        <f t="array" aca="1" ref="C8" ca="1">_FV(B8,"Price")</f>
        <v>98.13</v>
      </c>
      <c r="D8" s="2" cm="1">
        <f t="array" aca="1" ref="D8" ca="1">_FV(B8,"Change (%)",TRUE)</f>
        <v>-5.574E-3</v>
      </c>
    </row>
    <row r="9" spans="1:4" x14ac:dyDescent="0.25">
      <c r="A9" t="s">
        <v>102</v>
      </c>
      <c r="B9" t="e" vm="114">
        <v>#VALUE!</v>
      </c>
      <c r="C9" s="1" cm="1">
        <f t="array" aca="1" ref="C9" ca="1">_FV(B9,"Price")</f>
        <v>108.05</v>
      </c>
      <c r="D9" s="2" cm="1">
        <f t="array" aca="1" ref="D9" ca="1">_FV(B9,"Change (%)",TRUE)</f>
        <v>-2.032E-3</v>
      </c>
    </row>
    <row r="10" spans="1:4" x14ac:dyDescent="0.25">
      <c r="A10" t="s">
        <v>101</v>
      </c>
      <c r="B10" t="e" vm="115">
        <v>#VALUE!</v>
      </c>
      <c r="C10" s="1" cm="1">
        <f t="array" aca="1" ref="C10" ca="1">_FV(B10,"Price")</f>
        <v>97.95</v>
      </c>
      <c r="D10" s="2" cm="1">
        <f t="array" aca="1" ref="D10" ca="1">_FV(B10,"Change (%)",TRUE)</f>
        <v>-2.5460000000000001E-3</v>
      </c>
    </row>
    <row r="11" spans="1:4" x14ac:dyDescent="0.25">
      <c r="A11" t="s">
        <v>104</v>
      </c>
      <c r="B11" t="e" vm="116">
        <v>#VALUE!</v>
      </c>
      <c r="C11" s="1" cm="1">
        <f t="array" aca="1" ref="C11" ca="1">_FV(B11,"Price")</f>
        <v>116.76</v>
      </c>
      <c r="D11" s="2" cm="1">
        <f t="array" aca="1" ref="D11" ca="1">_FV(B11,"Change (%)",TRUE)</f>
        <v>-1.8809999999999999E-3</v>
      </c>
    </row>
    <row r="12" spans="1:4" x14ac:dyDescent="0.25">
      <c r="A12" t="s">
        <v>93</v>
      </c>
      <c r="B12" t="e" vm="117">
        <v>#VALUE!</v>
      </c>
      <c r="C12" s="1" cm="1">
        <f t="array" aca="1" ref="C12" ca="1">_FV(B12,"Price")</f>
        <v>83.89</v>
      </c>
      <c r="D12" s="2" cm="1">
        <f t="array" aca="1" ref="D12" ca="1">_FV(B12,"Change (%)",TRUE)</f>
        <v>-7.4539999999999997E-3</v>
      </c>
    </row>
    <row r="13" spans="1:4" x14ac:dyDescent="0.25">
      <c r="A13" t="s">
        <v>100</v>
      </c>
      <c r="B13" t="e" vm="118">
        <v>#VALUE!</v>
      </c>
      <c r="C13" s="1" cm="1">
        <f t="array" aca="1" ref="C13" ca="1">_FV(B13,"Price")</f>
        <v>22.565000000000001</v>
      </c>
      <c r="D13" s="2" cm="1">
        <f t="array" aca="1" ref="D13" ca="1">_FV(B13,"Change (%)",TRUE)</f>
        <v>-2.872E-3</v>
      </c>
    </row>
    <row r="14" spans="1:4" x14ac:dyDescent="0.25">
      <c r="A14" t="s">
        <v>105</v>
      </c>
      <c r="B14" t="e" vm="119">
        <v>#VALUE!</v>
      </c>
      <c r="C14" s="1" cm="1">
        <f t="array" aca="1" ref="C14" ca="1">_FV(B14,"Price")</f>
        <v>81.954999999999998</v>
      </c>
      <c r="D14" s="2" cm="1">
        <f t="array" aca="1" ref="D14" ca="1">_FV(B14,"Change (%)",TRUE)</f>
        <v>-4.2689999999999997E-4</v>
      </c>
    </row>
    <row r="15" spans="1:4" x14ac:dyDescent="0.25">
      <c r="A15" t="s">
        <v>103</v>
      </c>
      <c r="B15" t="e" vm="120">
        <v>#VALUE!</v>
      </c>
      <c r="C15" s="1" cm="1">
        <f t="array" aca="1" ref="C15" ca="1">_FV(B15,"Price")</f>
        <v>79.680000000000007</v>
      </c>
      <c r="D15" s="2" cm="1">
        <f t="array" aca="1" ref="D15" ca="1">_FV(B15,"Change (%)",TRUE)</f>
        <v>3.7659999999999999E-4</v>
      </c>
    </row>
    <row r="16" spans="1:4" x14ac:dyDescent="0.25">
      <c r="A16" t="s">
        <v>95</v>
      </c>
      <c r="B16" t="e" vm="121">
        <v>#VALUE!</v>
      </c>
      <c r="C16" s="1" cm="1">
        <f t="array" aca="1" ref="C16" ca="1">_FV(B16,"Price")</f>
        <v>40.68</v>
      </c>
      <c r="D16" s="2" cm="1">
        <f t="array" aca="1" ref="D16" ca="1">_FV(B16,"Change (%)",TRUE)</f>
        <v>-2.2079999999999999E-3</v>
      </c>
    </row>
    <row r="17" spans="1:4" x14ac:dyDescent="0.25">
      <c r="A17" t="s">
        <v>107</v>
      </c>
      <c r="B17" t="e" vm="122">
        <v>#VALUE!</v>
      </c>
      <c r="C17" s="1" cm="1">
        <f t="array" aca="1" ref="C17" ca="1">_FV(B17,"Price")</f>
        <v>20.39</v>
      </c>
      <c r="D17" s="2" cm="1">
        <f t="array" aca="1" ref="D17" ca="1">_FV(B17,"Change (%)",TRUE)</f>
        <v>9.3270000000000007E-4</v>
      </c>
    </row>
    <row r="18" spans="1:4" x14ac:dyDescent="0.25">
      <c r="A18" t="s">
        <v>92</v>
      </c>
      <c r="B18" t="e" vm="123">
        <v>#VALUE!</v>
      </c>
      <c r="C18" s="1" cm="1">
        <f t="array" aca="1" ref="C18" ca="1">_FV(B18,"Price")</f>
        <v>60.25</v>
      </c>
      <c r="D18" s="2" cm="1">
        <f t="array" aca="1" ref="D18" ca="1">_FV(B18,"Change (%)",TRUE)</f>
        <v>-1.1647000000000001E-2</v>
      </c>
    </row>
  </sheetData>
  <autoFilter ref="A1:D1" xr:uid="{D7ADC68C-381E-4D36-B0EC-FC873087CD67}">
    <sortState xmlns:xlrd2="http://schemas.microsoft.com/office/spreadsheetml/2017/richdata2" ref="A2:D18">
      <sortCondition descending="1" ref="D1"/>
    </sortState>
  </autoFilter>
  <conditionalFormatting sqref="D2:D18">
    <cfRule type="cellIs" dxfId="21" priority="1" operator="greaterThan">
      <formula>0</formula>
    </cfRule>
    <cfRule type="cellIs" dxfId="20" priority="2" operator="lessThan">
      <formula>0</formula>
    </cfRule>
  </conditionalFormatting>
  <pageMargins left="0.7" right="0.7" top="0.75" bottom="0.75" header="0.3" footer="0.3"/>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5E03C8B-EE30-4732-A32E-6667AFF9D7E8}">
  <dimension ref="A1:D23"/>
  <sheetViews>
    <sheetView workbookViewId="0">
      <selection sqref="A1:XFD1"/>
    </sheetView>
  </sheetViews>
  <sheetFormatPr defaultRowHeight="15" x14ac:dyDescent="0.25"/>
  <cols>
    <col min="2" max="2" width="38.85546875" bestFit="1" customWidth="1"/>
  </cols>
  <sheetData>
    <row r="1" spans="1:4" x14ac:dyDescent="0.25">
      <c r="A1" t="s">
        <v>0</v>
      </c>
      <c r="B1" t="s">
        <v>189</v>
      </c>
      <c r="C1" t="s">
        <v>187</v>
      </c>
      <c r="D1" t="s">
        <v>188</v>
      </c>
    </row>
    <row r="2" spans="1:4" x14ac:dyDescent="0.25">
      <c r="A2" t="s">
        <v>114</v>
      </c>
      <c r="B2" t="e" vm="124">
        <v>#VALUE!</v>
      </c>
      <c r="C2" s="1" cm="1">
        <f t="array" aca="1" ref="C2" ca="1">_FV(B2,"Price")</f>
        <v>38.67</v>
      </c>
      <c r="D2" s="2" cm="1">
        <f t="array" aca="1" ref="D2" ca="1">_FV(B2,"Change (%)",TRUE)</f>
        <v>-1.549E-3</v>
      </c>
    </row>
    <row r="3" spans="1:4" x14ac:dyDescent="0.25">
      <c r="A3" t="s">
        <v>111</v>
      </c>
      <c r="B3" t="e" vm="125">
        <v>#VALUE!</v>
      </c>
      <c r="C3" s="1" cm="1">
        <f t="array" aca="1" ref="C3" ca="1">_FV(B3,"Price")</f>
        <v>14.47</v>
      </c>
      <c r="D3" s="2" cm="1">
        <f t="array" aca="1" ref="D3" ca="1">_FV(B3,"Change (%)",TRUE)</f>
        <v>-2.0690000000000001E-3</v>
      </c>
    </row>
    <row r="4" spans="1:4" x14ac:dyDescent="0.25">
      <c r="A4" t="s">
        <v>117</v>
      </c>
      <c r="B4" t="e" vm="126">
        <v>#VALUE!</v>
      </c>
      <c r="C4" s="1" cm="1">
        <f t="array" aca="1" ref="C4" ca="1">_FV(B4,"Price")</f>
        <v>22.8</v>
      </c>
      <c r="D4" s="2" cm="1">
        <f t="array" aca="1" ref="D4" ca="1">_FV(B4,"Change (%)",TRUE)</f>
        <v>4.4050000000000001E-3</v>
      </c>
    </row>
    <row r="5" spans="1:4" x14ac:dyDescent="0.25">
      <c r="A5" t="s">
        <v>110</v>
      </c>
      <c r="B5" t="e" vm="127">
        <v>#VALUE!</v>
      </c>
      <c r="C5" s="1" cm="1">
        <f t="array" aca="1" ref="C5" ca="1">_FV(B5,"Price")</f>
        <v>50.98</v>
      </c>
      <c r="D5" s="2" cm="1">
        <f t="array" aca="1" ref="D5" ca="1">_FV(B5,"Change (%)",TRUE)</f>
        <v>3.9389999999999998E-3</v>
      </c>
    </row>
    <row r="6" spans="1:4" x14ac:dyDescent="0.25">
      <c r="A6" t="s">
        <v>112</v>
      </c>
      <c r="B6" t="e" vm="128">
        <v>#VALUE!</v>
      </c>
      <c r="C6" s="1" cm="1">
        <f t="array" aca="1" ref="C6" ca="1">_FV(B6,"Price")</f>
        <v>38.42</v>
      </c>
      <c r="D6" s="2" cm="1">
        <f t="array" aca="1" ref="D6" ca="1">_FV(B6,"Change (%)",TRUE)</f>
        <v>1.3186E-2</v>
      </c>
    </row>
    <row r="7" spans="1:4" x14ac:dyDescent="0.25">
      <c r="A7" t="s">
        <v>115</v>
      </c>
      <c r="B7" t="e" vm="129">
        <v>#VALUE!</v>
      </c>
      <c r="C7" s="1" cm="1">
        <f t="array" aca="1" ref="C7" ca="1">_FV(B7,"Price")</f>
        <v>97.74</v>
      </c>
      <c r="D7" s="2" cm="1">
        <f t="array" aca="1" ref="D7" ca="1">_FV(B7,"Change (%)",TRUE)</f>
        <v>-6.202E-3</v>
      </c>
    </row>
    <row r="8" spans="1:4" x14ac:dyDescent="0.25">
      <c r="A8" t="s">
        <v>118</v>
      </c>
      <c r="B8" t="e" vm="130">
        <v>#VALUE!</v>
      </c>
      <c r="C8" s="1" cm="1">
        <f t="array" aca="1" ref="C8" ca="1">_FV(B8,"Price")</f>
        <v>68.426299999999998</v>
      </c>
      <c r="D8" s="2" cm="1">
        <f t="array" aca="1" ref="D8" ca="1">_FV(B8,"Change (%)",TRUE)</f>
        <v>-1.0983E-2</v>
      </c>
    </row>
    <row r="9" spans="1:4" x14ac:dyDescent="0.25">
      <c r="A9" t="s">
        <v>120</v>
      </c>
      <c r="B9" t="e" vm="131">
        <v>#VALUE!</v>
      </c>
      <c r="C9" s="1" cm="1">
        <f t="array" aca="1" ref="C9" ca="1">_FV(B9,"Price")</f>
        <v>66.92</v>
      </c>
      <c r="D9" s="2" cm="1">
        <f t="array" aca="1" ref="D9" ca="1">_FV(B9,"Change (%)",TRUE)</f>
        <v>-2.1350999999999998E-2</v>
      </c>
    </row>
    <row r="10" spans="1:4" x14ac:dyDescent="0.25">
      <c r="A10" t="s">
        <v>119</v>
      </c>
      <c r="B10" t="e" vm="7">
        <v>#VALUE!</v>
      </c>
      <c r="C10" s="1" cm="1">
        <f t="array" aca="1" ref="C10" ca="1">_FV(B10,"Price")</f>
        <v>125.51</v>
      </c>
      <c r="D10" s="2" cm="1">
        <f t="array" aca="1" ref="D10" ca="1">_FV(B10,"Change (%)",TRUE)</f>
        <v>1.2503999999999999E-2</v>
      </c>
    </row>
    <row r="11" spans="1:4" x14ac:dyDescent="0.25">
      <c r="A11" t="s">
        <v>122</v>
      </c>
      <c r="B11" t="e" vm="132">
        <v>#VALUE!</v>
      </c>
      <c r="C11" s="1" cm="1">
        <f t="array" aca="1" ref="C11" ca="1">_FV(B11,"Price")</f>
        <v>77.69</v>
      </c>
      <c r="D11" s="2" cm="1">
        <f t="array" aca="1" ref="D11" ca="1">_FV(B11,"Change (%)",TRUE)</f>
        <v>-1.542E-3</v>
      </c>
    </row>
    <row r="12" spans="1:4" x14ac:dyDescent="0.25">
      <c r="A12" t="s">
        <v>116</v>
      </c>
      <c r="B12" t="e" vm="133">
        <v>#VALUE!</v>
      </c>
      <c r="C12" s="1" cm="1">
        <f t="array" aca="1" ref="C12" ca="1">_FV(B12,"Price")</f>
        <v>120.63</v>
      </c>
      <c r="D12" s="2" cm="1">
        <f t="array" aca="1" ref="D12" ca="1">_FV(B12,"Change (%)",TRUE)</f>
        <v>6.3400000000000001E-3</v>
      </c>
    </row>
    <row r="13" spans="1:4" x14ac:dyDescent="0.25">
      <c r="A13" t="s">
        <v>129</v>
      </c>
      <c r="B13" t="e" vm="134">
        <v>#VALUE!</v>
      </c>
      <c r="C13" s="1" cm="1">
        <f t="array" aca="1" ref="C13" ca="1">_FV(B13,"Price")</f>
        <v>9.77</v>
      </c>
      <c r="D13" s="2" cm="1">
        <f t="array" aca="1" ref="D13" ca="1">_FV(B13,"Change (%)",TRUE)</f>
        <v>3.0799999999999998E-3</v>
      </c>
    </row>
    <row r="14" spans="1:4" x14ac:dyDescent="0.25">
      <c r="A14" t="s">
        <v>113</v>
      </c>
      <c r="B14" t="e" vm="135">
        <v>#VALUE!</v>
      </c>
      <c r="C14" s="1" cm="1">
        <f t="array" aca="1" ref="C14" ca="1">_FV(B14,"Price")</f>
        <v>24.52</v>
      </c>
      <c r="D14" s="2" cm="1">
        <f t="array" aca="1" ref="D14" ca="1">_FV(B14,"Change (%)",TRUE)</f>
        <v>-4.0769999999999999E-4</v>
      </c>
    </row>
    <row r="15" spans="1:4" x14ac:dyDescent="0.25">
      <c r="A15" t="s">
        <v>125</v>
      </c>
      <c r="B15" t="e" vm="136">
        <v>#VALUE!</v>
      </c>
      <c r="C15" s="1" cm="1">
        <f t="array" aca="1" ref="C15" ca="1">_FV(B15,"Price")</f>
        <v>44.69</v>
      </c>
      <c r="D15" s="2" cm="1">
        <f t="array" aca="1" ref="D15" ca="1">_FV(B15,"Change (%)",TRUE)</f>
        <v>-5.3420000000000004E-3</v>
      </c>
    </row>
    <row r="16" spans="1:4" x14ac:dyDescent="0.25">
      <c r="A16" t="s">
        <v>157</v>
      </c>
      <c r="B16" t="e" vm="137">
        <v>#VALUE!</v>
      </c>
      <c r="C16" s="1" cm="1">
        <f t="array" aca="1" ref="C16" ca="1">_FV(B16,"Price")</f>
        <v>367.6</v>
      </c>
      <c r="D16" s="2" cm="1">
        <f t="array" aca="1" ref="D16" ca="1">_FV(B16,"Change (%)",TRUE)</f>
        <v>-2.199E-3</v>
      </c>
    </row>
    <row r="17" spans="1:4" x14ac:dyDescent="0.25">
      <c r="A17" t="s">
        <v>123</v>
      </c>
      <c r="B17" t="e" vm="138">
        <v>#VALUE!</v>
      </c>
      <c r="C17" s="1" cm="1">
        <f t="array" aca="1" ref="C17" ca="1">_FV(B17,"Price")</f>
        <v>82.01</v>
      </c>
      <c r="D17" s="2" cm="1">
        <f t="array" aca="1" ref="D17" ca="1">_FV(B17,"Change (%)",TRUE)</f>
        <v>-6.3010000000000002E-3</v>
      </c>
    </row>
    <row r="18" spans="1:4" x14ac:dyDescent="0.25">
      <c r="A18" t="s">
        <v>121</v>
      </c>
      <c r="B18" t="e" vm="139">
        <v>#VALUE!</v>
      </c>
      <c r="C18" s="1" cm="1">
        <f t="array" aca="1" ref="C18" ca="1">_FV(B18,"Price")</f>
        <v>29.14</v>
      </c>
      <c r="D18" s="2" cm="1">
        <f t="array" aca="1" ref="D18" ca="1">_FV(B18,"Change (%)",TRUE)</f>
        <v>5.5210000000000007E-3</v>
      </c>
    </row>
    <row r="19" spans="1:4" x14ac:dyDescent="0.25">
      <c r="A19" t="s">
        <v>128</v>
      </c>
      <c r="B19" t="e" vm="140">
        <v>#VALUE!</v>
      </c>
      <c r="C19" s="1" cm="1">
        <f t="array" aca="1" ref="C19" ca="1">_FV(B19,"Price")</f>
        <v>28.02</v>
      </c>
      <c r="D19" s="2" cm="1">
        <f t="array" aca="1" ref="D19" ca="1">_FV(B19,"Change (%)",TRUE)</f>
        <v>6.4659999999999995E-3</v>
      </c>
    </row>
    <row r="20" spans="1:4" x14ac:dyDescent="0.25">
      <c r="A20" t="s">
        <v>124</v>
      </c>
      <c r="B20" t="e" vm="141">
        <v>#VALUE!</v>
      </c>
      <c r="C20" s="1" cm="1">
        <f t="array" aca="1" ref="C20" ca="1">_FV(B20,"Price")</f>
        <v>25.88</v>
      </c>
      <c r="D20" s="2" cm="1">
        <f t="array" aca="1" ref="D20" ca="1">_FV(B20,"Change (%)",TRUE)</f>
        <v>1.5300000000000001E-2</v>
      </c>
    </row>
    <row r="21" spans="1:4" x14ac:dyDescent="0.25">
      <c r="A21" t="s">
        <v>126</v>
      </c>
      <c r="B21" t="e" vm="142">
        <v>#VALUE!</v>
      </c>
      <c r="C21" s="1" cm="1">
        <f t="array" aca="1" ref="C21" ca="1">_FV(B21,"Price")</f>
        <v>24.99</v>
      </c>
      <c r="D21" s="2" cm="1">
        <f t="array" aca="1" ref="D21" ca="1">_FV(B21,"Change (%)",TRUE)</f>
        <v>-1.0297000000000001E-2</v>
      </c>
    </row>
    <row r="22" spans="1:4" x14ac:dyDescent="0.25">
      <c r="A22" t="s">
        <v>127</v>
      </c>
      <c r="B22" t="e" vm="143">
        <v>#VALUE!</v>
      </c>
      <c r="C22" s="1" cm="1">
        <f t="array" aca="1" ref="C22" ca="1">_FV(B22,"Price")</f>
        <v>17.91</v>
      </c>
      <c r="D22" s="2" cm="1">
        <f t="array" aca="1" ref="D22" ca="1">_FV(B22,"Change (%)",TRUE)</f>
        <v>7.3119999999999999E-3</v>
      </c>
    </row>
    <row r="23" spans="1:4" x14ac:dyDescent="0.25">
      <c r="A23" t="s">
        <v>109</v>
      </c>
      <c r="B23" t="e" vm="144">
        <v>#VALUE!</v>
      </c>
      <c r="C23" s="1" cm="1">
        <f t="array" aca="1" ref="C23" ca="1">_FV(B23,"Price")</f>
        <v>10.29</v>
      </c>
      <c r="D23" s="2" cm="1">
        <f t="array" aca="1" ref="D23" ca="1">_FV(B23,"Change (%)",TRUE)</f>
        <v>-2.0931999999999999E-2</v>
      </c>
    </row>
  </sheetData>
  <autoFilter ref="A1:D1" xr:uid="{55E03C8B-EE30-4732-A32E-6667AFF9D7E8}">
    <sortState xmlns:xlrd2="http://schemas.microsoft.com/office/spreadsheetml/2017/richdata2" ref="A2:D23">
      <sortCondition descending="1" ref="D1"/>
    </sortState>
  </autoFilter>
  <conditionalFormatting sqref="D2:D23">
    <cfRule type="cellIs" dxfId="19" priority="1" operator="greaterThan">
      <formula>0</formula>
    </cfRule>
    <cfRule type="cellIs" dxfId="18" priority="2" operator="lessThan">
      <formula>0</formula>
    </cfRule>
  </conditionalFormatting>
  <pageMargins left="0.7" right="0.7" top="0.75" bottom="0.75" header="0.3" footer="0.3"/>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72E67DB-BF4B-4E65-9DEE-2D4E2BF5B5DB}">
  <dimension ref="A1:D29"/>
  <sheetViews>
    <sheetView workbookViewId="0">
      <selection activeCell="D1" sqref="D1"/>
    </sheetView>
  </sheetViews>
  <sheetFormatPr defaultRowHeight="15" x14ac:dyDescent="0.25"/>
  <cols>
    <col min="2" max="2" width="38" bestFit="1" customWidth="1"/>
  </cols>
  <sheetData>
    <row r="1" spans="1:4" x14ac:dyDescent="0.25">
      <c r="A1" t="s">
        <v>0</v>
      </c>
      <c r="B1" t="s">
        <v>189</v>
      </c>
      <c r="C1" t="s">
        <v>187</v>
      </c>
      <c r="D1" t="s">
        <v>188</v>
      </c>
    </row>
    <row r="2" spans="1:4" x14ac:dyDescent="0.25">
      <c r="A2" t="s">
        <v>149</v>
      </c>
      <c r="B2" t="e" vm="145">
        <v>#VALUE!</v>
      </c>
      <c r="C2" s="1" cm="1">
        <f t="array" aca="1" ref="C2" ca="1">_FV(B2,"Price")</f>
        <v>162.86000000000001</v>
      </c>
      <c r="D2" s="2" cm="1">
        <f t="array" aca="1" ref="D2" ca="1">_FV(B2,"Change (%)",TRUE)</f>
        <v>1.9689999999999998E-3</v>
      </c>
    </row>
    <row r="3" spans="1:4" x14ac:dyDescent="0.25">
      <c r="A3" t="s">
        <v>130</v>
      </c>
      <c r="B3" t="e" vm="11">
        <v>#VALUE!</v>
      </c>
      <c r="C3" s="1" cm="1">
        <f t="array" aca="1" ref="C3" ca="1">_FV(B3,"Price")</f>
        <v>35.04</v>
      </c>
      <c r="D3" s="2" cm="1">
        <f t="array" aca="1" ref="D3" ca="1">_FV(B3,"Change (%)",TRUE)</f>
        <v>2.6663000000000003E-2</v>
      </c>
    </row>
    <row r="4" spans="1:4" x14ac:dyDescent="0.25">
      <c r="A4" t="s">
        <v>137</v>
      </c>
      <c r="B4" t="e" vm="146">
        <v>#VALUE!</v>
      </c>
      <c r="C4" s="1" cm="1">
        <f t="array" aca="1" ref="C4" ca="1">_FV(B4,"Price")</f>
        <v>95.94</v>
      </c>
      <c r="D4" s="2" cm="1">
        <f t="array" aca="1" ref="D4" ca="1">_FV(B4,"Change (%)",TRUE)</f>
        <v>-1.4280999999999999E-2</v>
      </c>
    </row>
    <row r="5" spans="1:4" x14ac:dyDescent="0.25">
      <c r="A5" t="s">
        <v>132</v>
      </c>
      <c r="B5" t="e" vm="147">
        <v>#VALUE!</v>
      </c>
      <c r="C5" s="1" cm="1">
        <f t="array" aca="1" ref="C5" ca="1">_FV(B5,"Price")</f>
        <v>22.14</v>
      </c>
      <c r="D5" s="2" cm="1">
        <f t="array" aca="1" ref="D5" ca="1">_FV(B5,"Change (%)",TRUE)</f>
        <v>4.5370000000000002E-3</v>
      </c>
    </row>
    <row r="6" spans="1:4" x14ac:dyDescent="0.25">
      <c r="A6" t="s">
        <v>138</v>
      </c>
      <c r="B6" t="e" vm="148">
        <v>#VALUE!</v>
      </c>
      <c r="C6" s="1" cm="1">
        <f t="array" aca="1" ref="C6" ca="1">_FV(B6,"Price")</f>
        <v>63.56</v>
      </c>
      <c r="D6" s="2" cm="1">
        <f t="array" aca="1" ref="D6" ca="1">_FV(B6,"Change (%)",TRUE)</f>
        <v>4.2659999999999998E-3</v>
      </c>
    </row>
    <row r="7" spans="1:4" x14ac:dyDescent="0.25">
      <c r="A7" t="s">
        <v>142</v>
      </c>
      <c r="B7" t="e" vm="149">
        <v>#VALUE!</v>
      </c>
      <c r="C7" s="1" cm="1">
        <f t="array" aca="1" ref="C7" ca="1">_FV(B7,"Price")</f>
        <v>66.540000000000006</v>
      </c>
      <c r="D7" s="2" cm="1">
        <f t="array" aca="1" ref="D7" ca="1">_FV(B7,"Change (%)",TRUE)</f>
        <v>-4.9350000000000002E-3</v>
      </c>
    </row>
    <row r="8" spans="1:4" x14ac:dyDescent="0.25">
      <c r="A8" t="s">
        <v>134</v>
      </c>
      <c r="B8" t="e" vm="150">
        <v>#VALUE!</v>
      </c>
      <c r="C8" s="1" cm="1">
        <f t="array" aca="1" ref="C8" ca="1">_FV(B8,"Price")</f>
        <v>48.55</v>
      </c>
      <c r="D8" s="2" cm="1">
        <f t="array" aca="1" ref="D8" ca="1">_FV(B8,"Change (%)",TRUE)</f>
        <v>-7.3600000000000002E-3</v>
      </c>
    </row>
    <row r="9" spans="1:4" x14ac:dyDescent="0.25">
      <c r="A9" t="s">
        <v>136</v>
      </c>
      <c r="B9" t="e" vm="151">
        <v>#VALUE!</v>
      </c>
      <c r="C9" s="1" cm="1">
        <f t="array" aca="1" ref="C9" ca="1">_FV(B9,"Price")</f>
        <v>28.52</v>
      </c>
      <c r="D9" s="2" cm="1">
        <f t="array" aca="1" ref="D9" ca="1">_FV(B9,"Change (%)",TRUE)</f>
        <v>-8.0000000000000002E-3</v>
      </c>
    </row>
    <row r="10" spans="1:4" x14ac:dyDescent="0.25">
      <c r="A10" t="s">
        <v>144</v>
      </c>
      <c r="B10" t="e" vm="152">
        <v>#VALUE!</v>
      </c>
      <c r="C10" s="1" cm="1">
        <f t="array" aca="1" ref="C10" ca="1">_FV(B10,"Price")</f>
        <v>81.25</v>
      </c>
      <c r="D10" s="2" cm="1">
        <f t="array" aca="1" ref="D10" ca="1">_FV(B10,"Change (%)",TRUE)</f>
        <v>-3.9229999999999994E-3</v>
      </c>
    </row>
    <row r="11" spans="1:4" x14ac:dyDescent="0.25">
      <c r="A11" t="s">
        <v>156</v>
      </c>
      <c r="B11" t="e" vm="153">
        <v>#VALUE!</v>
      </c>
      <c r="C11" s="1" cm="1">
        <f t="array" aca="1" ref="C11" ca="1">_FV(B11,"Price")</f>
        <v>18.77</v>
      </c>
      <c r="D11" s="2" cm="1">
        <f t="array" aca="1" ref="D11" ca="1">_FV(B11,"Change (%)",TRUE)</f>
        <v>-3.186E-3</v>
      </c>
    </row>
    <row r="12" spans="1:4" x14ac:dyDescent="0.25">
      <c r="A12" t="s">
        <v>131</v>
      </c>
      <c r="B12" t="e" vm="154">
        <v>#VALUE!</v>
      </c>
      <c r="C12" s="1" cm="1">
        <f t="array" aca="1" ref="C12" ca="1">_FV(B12,"Price")</f>
        <v>39.42</v>
      </c>
      <c r="D12" s="2" cm="1">
        <f t="array" aca="1" ref="D12" ca="1">_FV(B12,"Change (%)",TRUE)</f>
        <v>1.2586999999999999E-2</v>
      </c>
    </row>
    <row r="13" spans="1:4" x14ac:dyDescent="0.25">
      <c r="A13" t="s">
        <v>155</v>
      </c>
      <c r="B13" t="e" vm="155">
        <v>#VALUE!</v>
      </c>
      <c r="C13" s="1" cm="1">
        <f t="array" aca="1" ref="C13" ca="1">_FV(B13,"Price")</f>
        <v>36.85</v>
      </c>
      <c r="D13" s="2" cm="1">
        <f t="array" aca="1" ref="D13" ca="1">_FV(B13,"Change (%)",TRUE)</f>
        <v>1.6309999999999999E-3</v>
      </c>
    </row>
    <row r="14" spans="1:4" x14ac:dyDescent="0.25">
      <c r="A14" t="s">
        <v>147</v>
      </c>
      <c r="B14" t="e" vm="9">
        <v>#VALUE!</v>
      </c>
      <c r="C14" s="1" cm="1">
        <f t="array" aca="1" ref="C14" ca="1">_FV(B14,"Price")</f>
        <v>90.43</v>
      </c>
      <c r="D14" s="2" cm="1">
        <f t="array" aca="1" ref="D14" ca="1">_FV(B14,"Change (%)",TRUE)</f>
        <v>-6.6309999999999991E-4</v>
      </c>
    </row>
    <row r="15" spans="1:4" x14ac:dyDescent="0.25">
      <c r="A15" t="s">
        <v>152</v>
      </c>
      <c r="B15" t="e" vm="156">
        <v>#VALUE!</v>
      </c>
      <c r="C15" s="1" cm="1">
        <f t="array" aca="1" ref="C15" ca="1">_FV(B15,"Price")</f>
        <v>44.74</v>
      </c>
      <c r="D15" s="2" cm="1">
        <f t="array" aca="1" ref="D15" ca="1">_FV(B15,"Change (%)",TRUE)</f>
        <v>-8.8610000000000008E-3</v>
      </c>
    </row>
    <row r="16" spans="1:4" x14ac:dyDescent="0.25">
      <c r="A16" t="s">
        <v>5</v>
      </c>
      <c r="B16" t="e" vm="1">
        <v>#VALUE!</v>
      </c>
      <c r="C16" s="1" cm="1">
        <f t="array" aca="1" ref="C16" ca="1">_FV(B16,"Price")</f>
        <v>742.09</v>
      </c>
      <c r="D16" s="2" cm="1">
        <f t="array" aca="1" ref="D16" ca="1">_FV(B16,"Change (%)",TRUE)</f>
        <v>-1.614E-3</v>
      </c>
    </row>
    <row r="17" spans="1:4" x14ac:dyDescent="0.25">
      <c r="A17" t="s">
        <v>145</v>
      </c>
      <c r="B17" t="e" vm="157">
        <v>#VALUE!</v>
      </c>
      <c r="C17" s="1" cm="1">
        <f t="array" aca="1" ref="C17" ca="1">_FV(B17,"Price")</f>
        <v>54.372999999999998</v>
      </c>
      <c r="D17" s="2" cm="1">
        <f t="array" aca="1" ref="D17" ca="1">_FV(B17,"Change (%)",TRUE)</f>
        <v>-9.9600000000000001E-3</v>
      </c>
    </row>
    <row r="18" spans="1:4" x14ac:dyDescent="0.25">
      <c r="A18" t="s">
        <v>146</v>
      </c>
      <c r="B18" t="e" vm="158">
        <v>#VALUE!</v>
      </c>
      <c r="C18" s="1" cm="1">
        <f t="array" aca="1" ref="C18" ca="1">_FV(B18,"Price")</f>
        <v>46.39</v>
      </c>
      <c r="D18" s="2" cm="1">
        <f t="array" aca="1" ref="D18" ca="1">_FV(B18,"Change (%)",TRUE)</f>
        <v>-1.1717E-2</v>
      </c>
    </row>
    <row r="19" spans="1:4" x14ac:dyDescent="0.25">
      <c r="A19" t="s">
        <v>141</v>
      </c>
      <c r="B19" t="e" vm="159">
        <v>#VALUE!</v>
      </c>
      <c r="C19" s="1" cm="1">
        <f t="array" aca="1" ref="C19" ca="1">_FV(B19,"Price")</f>
        <v>62.33</v>
      </c>
      <c r="D19" s="2" cm="1">
        <f t="array" aca="1" ref="D19" ca="1">_FV(B19,"Change (%)",TRUE)</f>
        <v>-1.3453999999999999E-2</v>
      </c>
    </row>
    <row r="20" spans="1:4" x14ac:dyDescent="0.25">
      <c r="A20" t="s">
        <v>148</v>
      </c>
      <c r="B20" t="e" vm="12">
        <v>#VALUE!</v>
      </c>
      <c r="C20" s="1" cm="1">
        <f t="array" aca="1" ref="C20" ca="1">_FV(B20,"Price")</f>
        <v>58.62</v>
      </c>
      <c r="D20" s="2" cm="1">
        <f t="array" aca="1" ref="D20" ca="1">_FV(B20,"Change (%)",TRUE)</f>
        <v>-1.3960999999999999E-2</v>
      </c>
    </row>
    <row r="21" spans="1:4" x14ac:dyDescent="0.25">
      <c r="A21" t="s">
        <v>151</v>
      </c>
      <c r="B21" t="e" vm="13">
        <v>#VALUE!</v>
      </c>
      <c r="C21" s="1" cm="1">
        <f t="array" aca="1" ref="C21" ca="1">_FV(B21,"Price")</f>
        <v>75.09</v>
      </c>
      <c r="D21" s="2" cm="1">
        <f t="array" aca="1" ref="D21" ca="1">_FV(B21,"Change (%)",TRUE)</f>
        <v>-2.6630000000000002E-4</v>
      </c>
    </row>
    <row r="22" spans="1:4" x14ac:dyDescent="0.25">
      <c r="A22" t="s">
        <v>139</v>
      </c>
      <c r="B22" t="e" vm="160">
        <v>#VALUE!</v>
      </c>
      <c r="C22" s="1" cm="1">
        <f t="array" aca="1" ref="C22" ca="1">_FV(B22,"Price")</f>
        <v>59.94</v>
      </c>
      <c r="D22" s="2" cm="1">
        <f t="array" aca="1" ref="D22" ca="1">_FV(B22,"Change (%)",TRUE)</f>
        <v>-5.3100000000000005E-3</v>
      </c>
    </row>
    <row r="23" spans="1:4" x14ac:dyDescent="0.25">
      <c r="A23" t="s">
        <v>154</v>
      </c>
      <c r="B23" t="e" vm="161">
        <v>#VALUE!</v>
      </c>
      <c r="C23" s="1" cm="1">
        <f t="array" aca="1" ref="C23" ca="1">_FV(B23,"Price")</f>
        <v>118.61</v>
      </c>
      <c r="D23" s="2" cm="1">
        <f t="array" aca="1" ref="D23" ca="1">_FV(B23,"Change (%)",TRUE)</f>
        <v>-1.1089E-2</v>
      </c>
    </row>
    <row r="24" spans="1:4" x14ac:dyDescent="0.25">
      <c r="A24" t="s">
        <v>133</v>
      </c>
      <c r="B24" t="e" vm="162">
        <v>#VALUE!</v>
      </c>
      <c r="C24" s="1" cm="1">
        <f t="array" aca="1" ref="C24" ca="1">_FV(B24,"Price")</f>
        <v>58.67</v>
      </c>
      <c r="D24" s="2" cm="1">
        <f t="array" aca="1" ref="D24" ca="1">_FV(B24,"Change (%)",TRUE)</f>
        <v>-8.2830000000000004E-3</v>
      </c>
    </row>
    <row r="25" spans="1:4" x14ac:dyDescent="0.25">
      <c r="A25" t="s">
        <v>143</v>
      </c>
      <c r="B25" t="e" vm="163">
        <v>#VALUE!</v>
      </c>
      <c r="C25" s="1" cm="1">
        <f t="array" aca="1" ref="C25" ca="1">_FV(B25,"Price")</f>
        <v>37.590000000000003</v>
      </c>
      <c r="D25" s="2" cm="1">
        <f t="array" aca="1" ref="D25" ca="1">_FV(B25,"Change (%)",TRUE)</f>
        <v>2.1745E-2</v>
      </c>
    </row>
    <row r="26" spans="1:4" x14ac:dyDescent="0.25">
      <c r="A26" t="s">
        <v>153</v>
      </c>
      <c r="B26" t="e" vm="164">
        <v>#VALUE!</v>
      </c>
      <c r="C26" s="1" cm="1">
        <f t="array" aca="1" ref="C26" ca="1">_FV(B26,"Price")</f>
        <v>35.479999999999997</v>
      </c>
      <c r="D26" s="2" cm="1">
        <f t="array" aca="1" ref="D26" ca="1">_FV(B26,"Change (%)",TRUE)</f>
        <v>7.0959999999999999E-3</v>
      </c>
    </row>
    <row r="27" spans="1:4" x14ac:dyDescent="0.25">
      <c r="A27" t="s">
        <v>140</v>
      </c>
      <c r="B27" t="e" vm="165">
        <v>#VALUE!</v>
      </c>
      <c r="C27" s="1" cm="1">
        <f t="array" aca="1" ref="C27" ca="1">_FV(B27,"Price")</f>
        <v>31.36</v>
      </c>
      <c r="D27" s="2" cm="1">
        <f t="array" aca="1" ref="D27" ca="1">_FV(B27,"Change (%)",TRUE)</f>
        <v>-3.8119999999999999E-3</v>
      </c>
    </row>
    <row r="28" spans="1:4" x14ac:dyDescent="0.25">
      <c r="A28" t="s">
        <v>150</v>
      </c>
      <c r="B28" t="e" vm="166">
        <v>#VALUE!</v>
      </c>
      <c r="C28" s="1" cm="1">
        <f t="array" aca="1" ref="C28" ca="1">_FV(B28,"Price")</f>
        <v>40.869999999999997</v>
      </c>
      <c r="D28" s="2" cm="1">
        <f t="array" aca="1" ref="D28" ca="1">_FV(B28,"Change (%)",TRUE)</f>
        <v>-7.0460000000000002E-3</v>
      </c>
    </row>
    <row r="29" spans="1:4" x14ac:dyDescent="0.25">
      <c r="A29" t="s">
        <v>135</v>
      </c>
      <c r="B29" t="e" vm="167">
        <v>#VALUE!</v>
      </c>
      <c r="C29" s="1" cm="1">
        <f t="array" aca="1" ref="C29" ca="1">_FV(B29,"Price")</f>
        <v>16.89</v>
      </c>
      <c r="D29" s="2" cm="1">
        <f t="array" aca="1" ref="D29" ca="1">_FV(B29,"Change (%)",TRUE)</f>
        <v>-2.5952000000000003E-2</v>
      </c>
    </row>
  </sheetData>
  <autoFilter ref="A1:D1" xr:uid="{F72E67DB-BF4B-4E65-9DEE-2D4E2BF5B5DB}">
    <sortState xmlns:xlrd2="http://schemas.microsoft.com/office/spreadsheetml/2017/richdata2" ref="A2:D29">
      <sortCondition descending="1" ref="D1"/>
    </sortState>
  </autoFilter>
  <sortState xmlns:xlrd2="http://schemas.microsoft.com/office/spreadsheetml/2017/richdata2" ref="A2:B30">
    <sortCondition ref="A2:A30"/>
  </sortState>
  <conditionalFormatting sqref="D2:D29">
    <cfRule type="cellIs" dxfId="17" priority="1" operator="greaterThan">
      <formula>0</formula>
    </cfRule>
    <cfRule type="cellIs" dxfId="16" priority="2" operator="lessThan">
      <formula>0</formula>
    </cfRule>
  </conditionalFormatting>
  <pageMargins left="0.7" right="0.7" top="0.75" bottom="0.75" header="0.3" footer="0.3"/>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B0B694C-A78D-430A-B98B-CFC17F698E01}">
  <dimension ref="A1:D9"/>
  <sheetViews>
    <sheetView workbookViewId="0">
      <selection sqref="A1:XFD1"/>
    </sheetView>
  </sheetViews>
  <sheetFormatPr defaultRowHeight="15" x14ac:dyDescent="0.25"/>
  <cols>
    <col min="2" max="2" width="36.140625" bestFit="1" customWidth="1"/>
  </cols>
  <sheetData>
    <row r="1" spans="1:4" x14ac:dyDescent="0.25">
      <c r="A1" t="s">
        <v>0</v>
      </c>
      <c r="B1" t="s">
        <v>189</v>
      </c>
      <c r="C1" t="s">
        <v>187</v>
      </c>
      <c r="D1" t="s">
        <v>188</v>
      </c>
    </row>
    <row r="2" spans="1:4" x14ac:dyDescent="0.25">
      <c r="A2" t="s">
        <v>160</v>
      </c>
      <c r="B2" t="e" vm="168">
        <v>#VALUE!</v>
      </c>
      <c r="C2" s="1" cm="1">
        <f t="array" aca="1" ref="C2" ca="1">_FV(B2,"Price")</f>
        <v>69.338800000000006</v>
      </c>
      <c r="D2" s="2" cm="1">
        <f t="array" aca="1" ref="D2" ca="1">_FV(B2,"Change (%)",TRUE)</f>
        <v>2.4099999999999998E-3</v>
      </c>
    </row>
    <row r="3" spans="1:4" x14ac:dyDescent="0.25">
      <c r="A3" t="s">
        <v>163</v>
      </c>
      <c r="B3" t="e" vm="169">
        <v>#VALUE!</v>
      </c>
      <c r="C3" s="1" cm="1">
        <f t="array" aca="1" ref="C3" ca="1">_FV(B3,"Price")</f>
        <v>56.46</v>
      </c>
      <c r="D3" s="2" cm="1">
        <f t="array" aca="1" ref="D3" ca="1">_FV(B3,"Change (%)",TRUE)</f>
        <v>-8.8480000000000004E-4</v>
      </c>
    </row>
    <row r="4" spans="1:4" x14ac:dyDescent="0.25">
      <c r="A4" t="s">
        <v>158</v>
      </c>
      <c r="B4" t="e" vm="170">
        <v>#VALUE!</v>
      </c>
      <c r="C4" s="1" cm="1">
        <f t="array" aca="1" ref="C4" ca="1">_FV(B4,"Price")</f>
        <v>129.19800000000001</v>
      </c>
      <c r="D4" s="2" cm="1">
        <f t="array" aca="1" ref="D4" ca="1">_FV(B4,"Change (%)",TRUE)</f>
        <v>-1.6379999999999999E-3</v>
      </c>
    </row>
    <row r="5" spans="1:4" x14ac:dyDescent="0.25">
      <c r="A5" t="s">
        <v>161</v>
      </c>
      <c r="B5" t="e" vm="171">
        <v>#VALUE!</v>
      </c>
      <c r="C5" s="1" cm="1">
        <f t="array" aca="1" ref="C5" ca="1">_FV(B5,"Price")</f>
        <v>105.37</v>
      </c>
      <c r="D5" s="2" cm="1">
        <f t="array" aca="1" ref="D5" ca="1">_FV(B5,"Change (%)",TRUE)</f>
        <v>-2.2729999999999998E-3</v>
      </c>
    </row>
    <row r="6" spans="1:4" x14ac:dyDescent="0.25">
      <c r="A6" t="s">
        <v>164</v>
      </c>
      <c r="B6" t="e" vm="172">
        <v>#VALUE!</v>
      </c>
      <c r="C6" s="1" cm="1">
        <f t="array" aca="1" ref="C6" ca="1">_FV(B6,"Price")</f>
        <v>108.801</v>
      </c>
      <c r="D6" s="2" cm="1">
        <f t="array" aca="1" ref="D6" ca="1">_FV(B6,"Change (%)",TRUE)</f>
        <v>-3.5630000000000002E-3</v>
      </c>
    </row>
    <row r="7" spans="1:4" x14ac:dyDescent="0.25">
      <c r="A7" t="s">
        <v>162</v>
      </c>
      <c r="B7" t="e" vm="173">
        <v>#VALUE!</v>
      </c>
      <c r="C7" s="1" cm="1">
        <f t="array" aca="1" ref="C7" ca="1">_FV(B7,"Price")</f>
        <v>69.52</v>
      </c>
      <c r="D7" s="2" cm="1">
        <f t="array" aca="1" ref="D7" ca="1">_FV(B7,"Change (%)",TRUE)</f>
        <v>-3.869E-3</v>
      </c>
    </row>
    <row r="8" spans="1:4" x14ac:dyDescent="0.25">
      <c r="A8" t="s">
        <v>159</v>
      </c>
      <c r="B8" t="e" vm="174">
        <v>#VALUE!</v>
      </c>
      <c r="C8" s="1" cm="1">
        <f t="array" aca="1" ref="C8" ca="1">_FV(B8,"Price")</f>
        <v>19.355</v>
      </c>
      <c r="D8" s="2" cm="1">
        <f t="array" aca="1" ref="D8" ca="1">_FV(B8,"Change (%)",TRUE)</f>
        <v>-2.5829999999999999E-4</v>
      </c>
    </row>
    <row r="9" spans="1:4" x14ac:dyDescent="0.25">
      <c r="A9" t="s">
        <v>165</v>
      </c>
      <c r="B9" t="e" vm="175">
        <v>#VALUE!</v>
      </c>
      <c r="C9" s="1" cm="1">
        <f t="array" aca="1" ref="C9" ca="1">_FV(B9,"Price")</f>
        <v>28.39</v>
      </c>
      <c r="D9" s="2" cm="1">
        <f t="array" aca="1" ref="D9" ca="1">_FV(B9,"Change (%)",TRUE)</f>
        <v>2.1180000000000001E-3</v>
      </c>
    </row>
  </sheetData>
  <autoFilter ref="A1:D1" xr:uid="{7B0B694C-A78D-430A-B98B-CFC17F698E01}">
    <sortState xmlns:xlrd2="http://schemas.microsoft.com/office/spreadsheetml/2017/richdata2" ref="A2:D9">
      <sortCondition descending="1" ref="D1"/>
    </sortState>
  </autoFilter>
  <conditionalFormatting sqref="D2:D9">
    <cfRule type="cellIs" dxfId="15" priority="1" operator="greaterThan">
      <formula>0</formula>
    </cfRule>
    <cfRule type="cellIs" dxfId="14" priority="2" operator="lessThan">
      <formula>0</formula>
    </cfRule>
  </conditionalFormatting>
  <pageMargins left="0.7" right="0.7" top="0.75" bottom="0.75" header="0.3" footer="0.3"/>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B7159BF-C17B-4581-ACC0-B3A7FA088775}">
  <dimension ref="A1:D4"/>
  <sheetViews>
    <sheetView workbookViewId="0">
      <selection activeCell="F3" sqref="F3"/>
    </sheetView>
  </sheetViews>
  <sheetFormatPr defaultRowHeight="15" x14ac:dyDescent="0.25"/>
  <cols>
    <col min="2" max="2" width="39.85546875" bestFit="1" customWidth="1"/>
  </cols>
  <sheetData>
    <row r="1" spans="1:4" x14ac:dyDescent="0.25">
      <c r="A1" t="s">
        <v>0</v>
      </c>
      <c r="B1" t="s">
        <v>189</v>
      </c>
      <c r="C1" t="s">
        <v>187</v>
      </c>
      <c r="D1" t="s">
        <v>188</v>
      </c>
    </row>
    <row r="2" spans="1:4" x14ac:dyDescent="0.25">
      <c r="A2" t="s">
        <v>205</v>
      </c>
      <c r="B2" t="e" vm="176">
        <v>#VALUE!</v>
      </c>
      <c r="C2" s="1" cm="1">
        <f t="array" aca="1" ref="C2" ca="1">_FV(B2,"Price")</f>
        <v>41.94</v>
      </c>
      <c r="D2" s="2" cm="1">
        <f t="array" aca="1" ref="D2" ca="1">_FV(B2,"Change (%)",TRUE)</f>
        <v>1.8703000000000001E-2</v>
      </c>
    </row>
    <row r="3" spans="1:4" x14ac:dyDescent="0.25">
      <c r="A3" t="s">
        <v>191</v>
      </c>
      <c r="B3" t="e" vm="6">
        <v>#VALUE!</v>
      </c>
      <c r="C3" s="1" cm="1">
        <f t="array" aca="1" ref="C3" ca="1">_FV(B3,"Price")</f>
        <v>36.89</v>
      </c>
      <c r="D3" s="2" cm="1">
        <f t="array" aca="1" ref="D3" ca="1">_FV(B3,"Change (%)",TRUE)</f>
        <v>1.4856000000000001E-2</v>
      </c>
    </row>
    <row r="4" spans="1:4" x14ac:dyDescent="0.25">
      <c r="A4" t="s">
        <v>199</v>
      </c>
      <c r="B4" t="e" vm="177">
        <v>#VALUE!</v>
      </c>
      <c r="C4" s="1" cm="1">
        <f t="array" aca="1" ref="C4" ca="1">_FV(B4,"Price")</f>
        <v>14.33</v>
      </c>
      <c r="D4" s="2" cm="1">
        <f t="array" aca="1" ref="D4" ca="1">_FV(B4,"Change (%)",TRUE)</f>
        <v>3.0194000000000002E-2</v>
      </c>
    </row>
  </sheetData>
  <autoFilter ref="A1:D1" xr:uid="{6B7159BF-C17B-4581-ACC0-B3A7FA088775}">
    <sortState xmlns:xlrd2="http://schemas.microsoft.com/office/spreadsheetml/2017/richdata2" ref="A2:D4">
      <sortCondition descending="1" ref="D1"/>
    </sortState>
  </autoFilter>
  <conditionalFormatting sqref="D2:D4">
    <cfRule type="cellIs" dxfId="13" priority="1" operator="greaterThan">
      <formula>0</formula>
    </cfRule>
    <cfRule type="cellIs" dxfId="12" priority="2" operator="lessThan">
      <formula>0</formula>
    </cfRule>
  </conditionalFormatting>
  <pageMargins left="0.7" right="0.7" top="0.75" bottom="0.75" header="0.3" footer="0.3"/>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B4A15CA-7FF8-4393-8CB8-D17BD69AF8FA}">
  <dimension ref="A1:D3"/>
  <sheetViews>
    <sheetView workbookViewId="0">
      <selection sqref="A1:XFD1"/>
    </sheetView>
  </sheetViews>
  <sheetFormatPr defaultRowHeight="15" x14ac:dyDescent="0.25"/>
  <cols>
    <col min="2" max="2" width="37.7109375" bestFit="1" customWidth="1"/>
  </cols>
  <sheetData>
    <row r="1" spans="1:4" x14ac:dyDescent="0.25">
      <c r="A1" t="s">
        <v>0</v>
      </c>
      <c r="B1" t="s">
        <v>189</v>
      </c>
      <c r="C1" t="s">
        <v>187</v>
      </c>
      <c r="D1" t="s">
        <v>188</v>
      </c>
    </row>
    <row r="2" spans="1:4" x14ac:dyDescent="0.25">
      <c r="A2" t="s">
        <v>178</v>
      </c>
      <c r="B2" t="e" vm="178">
        <v>#VALUE!</v>
      </c>
      <c r="C2" s="1" cm="1">
        <f t="array" aca="1" ref="C2" ca="1">_FV(B2,"Price")</f>
        <v>105.07</v>
      </c>
      <c r="D2" s="2" cm="1">
        <f t="array" aca="1" ref="D2" ca="1">_FV(B2,"Change (%)",TRUE)</f>
        <v>8.3490000000000005E-3</v>
      </c>
    </row>
    <row r="3" spans="1:4" x14ac:dyDescent="0.25">
      <c r="A3" t="s">
        <v>166</v>
      </c>
      <c r="B3" t="e" vm="179">
        <v>#VALUE!</v>
      </c>
      <c r="C3" s="1" cm="1">
        <f t="array" aca="1" ref="C3" ca="1">_FV(B3,"Price")</f>
        <v>41.758000000000003</v>
      </c>
      <c r="D3" s="2" cm="1">
        <f t="array" aca="1" ref="D3" ca="1">_FV(B3,"Change (%)",TRUE)</f>
        <v>8.796E-3</v>
      </c>
    </row>
  </sheetData>
  <autoFilter ref="A1:D1" xr:uid="{CB4A15CA-7FF8-4393-8CB8-D17BD69AF8FA}">
    <sortState xmlns:xlrd2="http://schemas.microsoft.com/office/spreadsheetml/2017/richdata2" ref="A2:D3">
      <sortCondition descending="1" ref="D1"/>
    </sortState>
  </autoFilter>
  <conditionalFormatting sqref="D2:D3">
    <cfRule type="cellIs" dxfId="11" priority="1" operator="greaterThan">
      <formula>0</formula>
    </cfRule>
    <cfRule type="cellIs" dxfId="10" priority="2" operator="lessThan">
      <formula>0</formula>
    </cfRule>
  </conditionalFormatting>
  <pageMargins left="0.7" right="0.7" top="0.75" bottom="0.75" header="0.3" footer="0.3"/>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902132B-C28D-4BE0-8904-9CF58091B792}">
  <dimension ref="A1:D4"/>
  <sheetViews>
    <sheetView workbookViewId="0">
      <selection sqref="A1:XFD1"/>
    </sheetView>
  </sheetViews>
  <sheetFormatPr defaultRowHeight="15" x14ac:dyDescent="0.25"/>
  <cols>
    <col min="2" max="2" width="34.28515625" bestFit="1" customWidth="1"/>
  </cols>
  <sheetData>
    <row r="1" spans="1:4" x14ac:dyDescent="0.25">
      <c r="A1" t="s">
        <v>179</v>
      </c>
      <c r="B1" t="s">
        <v>189</v>
      </c>
      <c r="C1" t="s">
        <v>187</v>
      </c>
      <c r="D1" t="s">
        <v>188</v>
      </c>
    </row>
    <row r="2" spans="1:4" x14ac:dyDescent="0.25">
      <c r="A2" t="s">
        <v>182</v>
      </c>
      <c r="B2" t="e" vm="180">
        <v>#VALUE!</v>
      </c>
      <c r="C2" s="1" cm="1">
        <f t="array" aca="1" ref="C2" ca="1">_FV(B2,"Price")</f>
        <v>61.25</v>
      </c>
      <c r="D2" s="2" cm="1">
        <f t="array" aca="1" ref="D2" ca="1">_FV(B2,"Change (%)",TRUE)</f>
        <v>-3.6192000000000002E-2</v>
      </c>
    </row>
    <row r="3" spans="1:4" x14ac:dyDescent="0.25">
      <c r="A3" t="s">
        <v>181</v>
      </c>
      <c r="B3" t="e" vm="181">
        <v>#VALUE!</v>
      </c>
      <c r="C3" s="1" cm="1">
        <f t="array" aca="1" ref="C3" ca="1">_FV(B3,"Price")</f>
        <v>24.7</v>
      </c>
      <c r="D3" s="2" cm="1">
        <f t="array" aca="1" ref="D3" ca="1">_FV(B3,"Change (%)",TRUE)</f>
        <v>-2.9087999999999999E-2</v>
      </c>
    </row>
    <row r="4" spans="1:4" x14ac:dyDescent="0.25">
      <c r="A4" t="s">
        <v>180</v>
      </c>
      <c r="B4" t="e" vm="182">
        <v>#VALUE!</v>
      </c>
      <c r="C4" s="1" cm="1">
        <f t="array" aca="1" ref="C4" ca="1">_FV(B4,"Price")</f>
        <v>21.26</v>
      </c>
      <c r="D4" s="2" cm="1">
        <f t="array" aca="1" ref="D4" ca="1">_FV(B4,"Change (%)",TRUE)</f>
        <v>-1.8013999999999999E-2</v>
      </c>
    </row>
  </sheetData>
  <autoFilter ref="A1:D1" xr:uid="{2902132B-C28D-4BE0-8904-9CF58091B792}">
    <sortState xmlns:xlrd2="http://schemas.microsoft.com/office/spreadsheetml/2017/richdata2" ref="A2:D4">
      <sortCondition descending="1" ref="D1"/>
    </sortState>
  </autoFilter>
  <conditionalFormatting sqref="D2:D4">
    <cfRule type="cellIs" dxfId="9" priority="1" operator="greaterThan">
      <formula>0</formula>
    </cfRule>
    <cfRule type="cellIs" dxfId="8" priority="2" operator="lessThan">
      <formula>0</formula>
    </cfRule>
  </conditionalFormatting>
  <pageMargins left="0.7" right="0.7" top="0.75" bottom="0.75" header="0.3" footer="0.3"/>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7547231-0089-4537-A6B1-90B0BA9AD557}">
  <dimension ref="A1:D9"/>
  <sheetViews>
    <sheetView workbookViewId="0">
      <selection sqref="A1:XFD1"/>
    </sheetView>
  </sheetViews>
  <sheetFormatPr defaultRowHeight="15" x14ac:dyDescent="0.25"/>
  <cols>
    <col min="1" max="1" width="6.28515625" bestFit="1" customWidth="1"/>
    <col min="2" max="2" width="37.5703125" bestFit="1" customWidth="1"/>
    <col min="3" max="3" width="9" bestFit="1" customWidth="1"/>
    <col min="4" max="4" width="7.5703125" bestFit="1" customWidth="1"/>
  </cols>
  <sheetData>
    <row r="1" spans="1:4" x14ac:dyDescent="0.25">
      <c r="A1" t="s">
        <v>179</v>
      </c>
      <c r="B1" t="s">
        <v>189</v>
      </c>
      <c r="C1" t="s">
        <v>187</v>
      </c>
      <c r="D1" t="s">
        <v>188</v>
      </c>
    </row>
    <row r="2" spans="1:4" x14ac:dyDescent="0.25">
      <c r="A2" t="s">
        <v>196</v>
      </c>
      <c r="B2" t="e" vm="183">
        <v>#VALUE!</v>
      </c>
      <c r="C2" s="1" cm="1">
        <f t="array" aca="1" ref="C2" ca="1">_FV(B2,"Price")</f>
        <v>24.57</v>
      </c>
      <c r="D2" s="2" cm="1">
        <f t="array" aca="1" ref="D2" ca="1">_FV(B2,"Change (%)",TRUE)</f>
        <v>-5.3907999999999998E-2</v>
      </c>
    </row>
    <row r="3" spans="1:4" x14ac:dyDescent="0.25">
      <c r="A3" t="s">
        <v>88</v>
      </c>
      <c r="B3" t="e" vm="105">
        <v>#VALUE!</v>
      </c>
      <c r="C3" s="1" cm="1">
        <f t="array" aca="1" ref="C3" ca="1">_FV(B3,"Price")</f>
        <v>52.896599999999999</v>
      </c>
      <c r="D3" s="2" cm="1">
        <f t="array" aca="1" ref="D3" ca="1">_FV(B3,"Change (%)",TRUE)</f>
        <v>2.209E-3</v>
      </c>
    </row>
    <row r="4" spans="1:4" x14ac:dyDescent="0.25">
      <c r="A4" t="s">
        <v>91</v>
      </c>
      <c r="B4" t="e" vm="104">
        <v>#VALUE!</v>
      </c>
      <c r="C4" s="1" cm="1">
        <f t="array" aca="1" ref="C4" ca="1">_FV(B4,"Price")</f>
        <v>135.31</v>
      </c>
      <c r="D4" s="2" cm="1">
        <f t="array" aca="1" ref="D4" ca="1">_FV(B4,"Change (%)",TRUE)</f>
        <v>-7.6619999999999995E-3</v>
      </c>
    </row>
    <row r="5" spans="1:4" x14ac:dyDescent="0.25">
      <c r="A5" t="s">
        <v>98</v>
      </c>
      <c r="B5" t="e" vm="109">
        <v>#VALUE!</v>
      </c>
      <c r="C5" s="1" cm="1">
        <f t="array" aca="1" ref="C5" ca="1">_FV(B5,"Price")</f>
        <v>30.32</v>
      </c>
      <c r="D5" s="2" cm="1">
        <f t="array" aca="1" ref="D5" ca="1">_FV(B5,"Change (%)",TRUE)</f>
        <v>-9.8850000000000001E-4</v>
      </c>
    </row>
    <row r="6" spans="1:4" x14ac:dyDescent="0.25">
      <c r="A6" t="s">
        <v>89</v>
      </c>
      <c r="B6" t="e" vm="106">
        <v>#VALUE!</v>
      </c>
      <c r="C6" s="1" cm="1">
        <f t="array" aca="1" ref="C6" ca="1">_FV(B6,"Price")</f>
        <v>57.524000000000001</v>
      </c>
      <c r="D6" s="2" cm="1">
        <f t="array" aca="1" ref="D6" ca="1">_FV(B6,"Change (%)",TRUE)</f>
        <v>-1.6851999999999999E-2</v>
      </c>
    </row>
    <row r="7" spans="1:4" x14ac:dyDescent="0.25">
      <c r="A7" t="s">
        <v>197</v>
      </c>
      <c r="B7" t="e" vm="184">
        <v>#VALUE!</v>
      </c>
      <c r="C7" s="1" cm="1">
        <f t="array" aca="1" ref="C7" ca="1">_FV(B7,"Price")</f>
        <v>236.42</v>
      </c>
      <c r="D7" s="2" cm="1">
        <f t="array" aca="1" ref="D7" ca="1">_FV(B7,"Change (%)",TRUE)</f>
        <v>-7.3889999999999997E-3</v>
      </c>
    </row>
    <row r="8" spans="1:4" x14ac:dyDescent="0.25">
      <c r="A8" t="s">
        <v>198</v>
      </c>
      <c r="B8" t="e" vm="185">
        <v>#VALUE!</v>
      </c>
      <c r="C8" s="1" cm="1">
        <f t="array" aca="1" ref="C8" ca="1">_FV(B8,"Price")</f>
        <v>43.58</v>
      </c>
      <c r="D8" s="2" cm="1">
        <f t="array" aca="1" ref="D8" ca="1">_FV(B8,"Change (%)",TRUE)</f>
        <v>-5.4769999999999992E-3</v>
      </c>
    </row>
    <row r="9" spans="1:4" x14ac:dyDescent="0.25">
      <c r="A9" t="s">
        <v>90</v>
      </c>
      <c r="B9" t="e" vm="107">
        <v>#VALUE!</v>
      </c>
      <c r="C9" s="1" cm="1">
        <f t="array" aca="1" ref="C9" ca="1">_FV(B9,"Price")</f>
        <v>67.138099999999994</v>
      </c>
      <c r="D9" s="2" cm="1">
        <f t="array" aca="1" ref="D9" ca="1">_FV(B9,"Change (%)",TRUE)</f>
        <v>-7.4980000000000003E-3</v>
      </c>
    </row>
  </sheetData>
  <autoFilter ref="A1:D1" xr:uid="{97547231-0089-4537-A6B1-90B0BA9AD557}">
    <sortState xmlns:xlrd2="http://schemas.microsoft.com/office/spreadsheetml/2017/richdata2" ref="A2:D9">
      <sortCondition descending="1" ref="D1"/>
    </sortState>
  </autoFilter>
  <conditionalFormatting sqref="D2:D9">
    <cfRule type="cellIs" dxfId="7" priority="1" operator="greaterThan">
      <formula>0</formula>
    </cfRule>
    <cfRule type="cellIs" dxfId="6" priority="2" operator="lessThan">
      <formula>0</formula>
    </cfRule>
  </conditionalFormatting>
  <pageMargins left="0.7" right="0.7" top="0.75" bottom="0.75" header="0.3" footer="0.3"/>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82CB093-B994-4B17-AFD5-D9816674927D}">
  <dimension ref="A1:D5"/>
  <sheetViews>
    <sheetView workbookViewId="0">
      <selection sqref="A1:D5"/>
    </sheetView>
  </sheetViews>
  <sheetFormatPr defaultRowHeight="15" x14ac:dyDescent="0.25"/>
  <cols>
    <col min="2" max="2" width="37.5703125" bestFit="1" customWidth="1"/>
  </cols>
  <sheetData>
    <row r="1" spans="1:4" x14ac:dyDescent="0.25">
      <c r="A1" t="s">
        <v>179</v>
      </c>
      <c r="B1" t="s">
        <v>189</v>
      </c>
      <c r="C1" t="s">
        <v>187</v>
      </c>
      <c r="D1" t="s">
        <v>188</v>
      </c>
    </row>
    <row r="2" spans="1:4" x14ac:dyDescent="0.25">
      <c r="A2" t="s">
        <v>186</v>
      </c>
      <c r="B2" t="e" vm="186">
        <v>#VALUE!</v>
      </c>
      <c r="C2" s="1" cm="1">
        <f t="array" aca="1" ref="C2" ca="1">_FV(B2,"Price")</f>
        <v>34.67</v>
      </c>
      <c r="D2" s="2" cm="1">
        <f t="array" aca="1" ref="D2" ca="1">_FV(B2,"Change (%)",TRUE)</f>
        <v>-1.729E-2</v>
      </c>
    </row>
    <row r="3" spans="1:4" x14ac:dyDescent="0.25">
      <c r="A3" t="s">
        <v>183</v>
      </c>
      <c r="B3" t="e" vm="187">
        <v>#VALUE!</v>
      </c>
      <c r="C3" s="1" cm="1">
        <f t="array" aca="1" ref="C3" ca="1">_FV(B3,"Price")</f>
        <v>27.1</v>
      </c>
      <c r="D3" s="2" cm="1">
        <f t="array" aca="1" ref="D3" ca="1">_FV(B3,"Change (%)",TRUE)</f>
        <v>4.4479999999999997E-3</v>
      </c>
    </row>
    <row r="4" spans="1:4" x14ac:dyDescent="0.25">
      <c r="A4" t="s">
        <v>185</v>
      </c>
      <c r="B4" t="e" vm="188">
        <v>#VALUE!</v>
      </c>
      <c r="C4" s="1" cm="1">
        <f t="array" aca="1" ref="C4" ca="1">_FV(B4,"Price")</f>
        <v>42.68</v>
      </c>
      <c r="D4" s="2" cm="1">
        <f t="array" aca="1" ref="D4" ca="1">_FV(B4,"Change (%)",TRUE)</f>
        <v>-2.5709999999999999E-3</v>
      </c>
    </row>
    <row r="5" spans="1:4" x14ac:dyDescent="0.25">
      <c r="A5" t="s">
        <v>184</v>
      </c>
      <c r="B5" t="e" vm="189">
        <v>#VALUE!</v>
      </c>
      <c r="C5" s="1" cm="1">
        <f t="array" aca="1" ref="C5" ca="1">_FV(B5,"Price")</f>
        <v>41.35</v>
      </c>
      <c r="D5" s="2" cm="1">
        <f t="array" aca="1" ref="D5" ca="1">_FV(B5,"Change (%)",TRUE)</f>
        <v>1.7971000000000001E-2</v>
      </c>
    </row>
  </sheetData>
  <autoFilter ref="A1:D1" xr:uid="{982CB093-B994-4B17-AFD5-D9816674927D}">
    <sortState xmlns:xlrd2="http://schemas.microsoft.com/office/spreadsheetml/2017/richdata2" ref="A2:D5">
      <sortCondition descending="1" ref="D1"/>
    </sortState>
  </autoFilter>
  <conditionalFormatting sqref="D2:D5">
    <cfRule type="cellIs" dxfId="5" priority="1" operator="greaterThan">
      <formula>0</formula>
    </cfRule>
    <cfRule type="cellIs" dxfId="4" priority="2" operator="lessThan">
      <formula>0</formula>
    </cfRule>
  </conditionalFormatting>
  <pageMargins left="0.7" right="0.7" top="0.75" bottom="0.75" header="0.3" footer="0.3"/>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9B5923E-03B3-4858-B3E1-664DA95F842D}">
  <dimension ref="A1:E12"/>
  <sheetViews>
    <sheetView workbookViewId="0">
      <selection sqref="A1:XFD1"/>
    </sheetView>
  </sheetViews>
  <sheetFormatPr defaultRowHeight="15" x14ac:dyDescent="0.25"/>
  <cols>
    <col min="2" max="2" width="35.140625" bestFit="1" customWidth="1"/>
  </cols>
  <sheetData>
    <row r="1" spans="1:5" x14ac:dyDescent="0.25">
      <c r="A1" t="s">
        <v>0</v>
      </c>
      <c r="B1" t="s">
        <v>189</v>
      </c>
      <c r="C1" t="s">
        <v>187</v>
      </c>
      <c r="D1" t="s">
        <v>188</v>
      </c>
    </row>
    <row r="2" spans="1:5" x14ac:dyDescent="0.25">
      <c r="A2" t="s">
        <v>167</v>
      </c>
      <c r="B2" t="e" vm="190">
        <v>#VALUE!</v>
      </c>
      <c r="C2" s="1" cm="1">
        <f t="array" aca="1" ref="C2" ca="1">_FV(B2,"Price")</f>
        <v>80.12</v>
      </c>
      <c r="D2" s="2" cm="1">
        <f t="array" aca="1" ref="D2" ca="1">_FV(B2,"Change (%)",TRUE)</f>
        <v>-5.9550000000000002E-3</v>
      </c>
      <c r="E2" s="3"/>
    </row>
    <row r="3" spans="1:5" x14ac:dyDescent="0.25">
      <c r="A3" t="s">
        <v>172</v>
      </c>
      <c r="B3" t="e" vm="191">
        <v>#VALUE!</v>
      </c>
      <c r="C3" s="1" cm="1">
        <f t="array" aca="1" ref="C3" ca="1">_FV(B3,"Price")</f>
        <v>82.396199999999993</v>
      </c>
      <c r="D3" s="2" cm="1">
        <f t="array" aca="1" ref="D3" ca="1">_FV(B3,"Change (%)",TRUE)</f>
        <v>-3.4329999999999999E-3</v>
      </c>
    </row>
    <row r="4" spans="1:5" x14ac:dyDescent="0.25">
      <c r="A4" t="s">
        <v>173</v>
      </c>
      <c r="B4" t="e" vm="192">
        <v>#VALUE!</v>
      </c>
      <c r="C4" s="1" cm="1">
        <f t="array" aca="1" ref="C4" ca="1">_FV(B4,"Price")</f>
        <v>35.888100000000001</v>
      </c>
      <c r="D4" s="2" cm="1">
        <f t="array" aca="1" ref="D4" ca="1">_FV(B4,"Change (%)",TRUE)</f>
        <v>-3.9250000000000005E-3</v>
      </c>
    </row>
    <row r="5" spans="1:5" x14ac:dyDescent="0.25">
      <c r="A5" t="s">
        <v>170</v>
      </c>
      <c r="B5" t="e" vm="193">
        <v>#VALUE!</v>
      </c>
      <c r="C5" s="1" cm="1">
        <f t="array" aca="1" ref="C5" ca="1">_FV(B5,"Price")</f>
        <v>62.37</v>
      </c>
      <c r="D5" s="2" cm="1">
        <f t="array" aca="1" ref="D5" ca="1">_FV(B5,"Change (%)",TRUE)</f>
        <v>-7.4790000000000004E-3</v>
      </c>
    </row>
    <row r="6" spans="1:5" x14ac:dyDescent="0.25">
      <c r="A6" t="s">
        <v>174</v>
      </c>
      <c r="B6" t="e" vm="194">
        <v>#VALUE!</v>
      </c>
      <c r="C6" s="1" cm="1">
        <f t="array" aca="1" ref="C6" ca="1">_FV(B6,"Price")</f>
        <v>33.65</v>
      </c>
      <c r="D6" s="2" cm="1">
        <f t="array" aca="1" ref="D6" ca="1">_FV(B6,"Change (%)",TRUE)</f>
        <v>-1.0003E-2</v>
      </c>
    </row>
    <row r="7" spans="1:5" x14ac:dyDescent="0.25">
      <c r="A7" t="s">
        <v>176</v>
      </c>
      <c r="B7" t="e" vm="195">
        <v>#VALUE!</v>
      </c>
      <c r="C7" s="1" cm="1">
        <f t="array" aca="1" ref="C7" ca="1">_FV(B7,"Price")</f>
        <v>30.83</v>
      </c>
      <c r="D7" s="2" cm="1">
        <f t="array" aca="1" ref="D7" ca="1">_FV(B7,"Change (%)",TRUE)</f>
        <v>-6.4829999999999998E-4</v>
      </c>
    </row>
    <row r="8" spans="1:5" x14ac:dyDescent="0.25">
      <c r="A8" t="s">
        <v>168</v>
      </c>
      <c r="B8" t="e" vm="196">
        <v>#VALUE!</v>
      </c>
      <c r="C8" s="1" cm="1">
        <f t="array" aca="1" ref="C8" ca="1">_FV(B8,"Price")</f>
        <v>104.6</v>
      </c>
      <c r="D8" s="2" cm="1">
        <f t="array" aca="1" ref="D8" ca="1">_FV(B8,"Change (%)",TRUE)</f>
        <v>2.8689999999999998E-4</v>
      </c>
    </row>
    <row r="9" spans="1:5" x14ac:dyDescent="0.25">
      <c r="A9" t="s">
        <v>177</v>
      </c>
      <c r="B9" t="e" vm="197">
        <v>#VALUE!</v>
      </c>
      <c r="C9" s="1" cm="1">
        <f t="array" aca="1" ref="C9" ca="1">_FV(B9,"Price")</f>
        <v>37.191400000000002</v>
      </c>
      <c r="D9" s="2" cm="1">
        <f t="array" aca="1" ref="D9" ca="1">_FV(B9,"Change (%)",TRUE)</f>
        <v>-3.1230000000000003E-3</v>
      </c>
    </row>
    <row r="10" spans="1:5" x14ac:dyDescent="0.25">
      <c r="A10" t="s">
        <v>175</v>
      </c>
      <c r="B10" t="e" vm="198">
        <v>#VALUE!</v>
      </c>
      <c r="C10" s="1" cm="1">
        <f t="array" aca="1" ref="C10" ca="1">_FV(B10,"Price")</f>
        <v>55.08</v>
      </c>
      <c r="D10" s="2" cm="1">
        <f t="array" aca="1" ref="D10" ca="1">_FV(B10,"Change (%)",TRUE)</f>
        <v>-7.2099999999999994E-3</v>
      </c>
    </row>
    <row r="11" spans="1:5" x14ac:dyDescent="0.25">
      <c r="A11" t="s">
        <v>171</v>
      </c>
      <c r="B11" t="e" vm="199">
        <v>#VALUE!</v>
      </c>
      <c r="C11" s="1" cm="1">
        <f t="array" aca="1" ref="C11" ca="1">_FV(B11,"Price")</f>
        <v>59.44</v>
      </c>
      <c r="D11" s="2" cm="1">
        <f t="array" aca="1" ref="D11" ca="1">_FV(B11,"Change (%)",TRUE)</f>
        <v>1.6830000000000003E-4</v>
      </c>
    </row>
    <row r="12" spans="1:5" x14ac:dyDescent="0.25">
      <c r="A12" t="s">
        <v>169</v>
      </c>
      <c r="B12" t="e" vm="200">
        <v>#VALUE!</v>
      </c>
      <c r="C12" s="1" cm="1">
        <f t="array" aca="1" ref="C12" ca="1">_FV(B12,"Price")</f>
        <v>38.199399999999997</v>
      </c>
      <c r="D12" s="2" cm="1">
        <f t="array" aca="1" ref="D12" ca="1">_FV(B12,"Change (%)",TRUE)</f>
        <v>-1.0091000000000001E-2</v>
      </c>
    </row>
  </sheetData>
  <autoFilter ref="A1:E1" xr:uid="{59B5923E-03B3-4858-B3E1-664DA95F842D}">
    <sortState xmlns:xlrd2="http://schemas.microsoft.com/office/spreadsheetml/2017/richdata2" ref="A2:E12">
      <sortCondition ref="D1"/>
    </sortState>
  </autoFilter>
  <conditionalFormatting sqref="D2:D12">
    <cfRule type="cellIs" dxfId="3" priority="1" operator="greaterThan">
      <formula>0</formula>
    </cfRule>
    <cfRule type="cellIs" dxfId="2" priority="2" operator="lessThan">
      <formula>0</formula>
    </cfRule>
  </conditionalFormatting>
  <pageMargins left="0.7" right="0.7" top="0.75" bottom="0.75" header="0.3" footer="0.3"/>
</worksheet>
</file>

<file path=docProps/app.xml><?xml version="1.0" encoding="utf-8"?>
<Properties xmlns="http://schemas.openxmlformats.org/officeDocument/2006/extended-properties" xmlns:vt="http://schemas.openxmlformats.org/officeDocument/2006/docPropsVTypes">
  <TotalTime>0</TotalTime>
  <Application>Microsoft Excel</Application>
  <DocSecurity>0</DocSecurity>
  <ScaleCrop>false</ScaleCrop>
  <HeadingPairs>
    <vt:vector size="2" baseType="variant">
      <vt:variant>
        <vt:lpstr>Worksheets</vt:lpstr>
      </vt:variant>
      <vt:variant>
        <vt:i4>20</vt:i4>
      </vt:variant>
    </vt:vector>
  </HeadingPairs>
  <TitlesOfParts>
    <vt:vector size="20" baseType="lpstr">
      <vt:lpstr>MainMetrics</vt:lpstr>
      <vt:lpstr>indexes</vt:lpstr>
      <vt:lpstr>spSectors</vt:lpstr>
      <vt:lpstr>AI_trade</vt:lpstr>
      <vt:lpstr>industries</vt:lpstr>
      <vt:lpstr>spFactors</vt:lpstr>
      <vt:lpstr>magnificent7</vt:lpstr>
      <vt:lpstr>sizeVsValue</vt:lpstr>
      <vt:lpstr>awesomePortfolio</vt:lpstr>
      <vt:lpstr>qualitative</vt:lpstr>
      <vt:lpstr>fixedIncome</vt:lpstr>
      <vt:lpstr>commodities</vt:lpstr>
      <vt:lpstr>globalMarkets</vt:lpstr>
      <vt:lpstr>currencies</vt:lpstr>
      <vt:lpstr>crypto</vt:lpstr>
      <vt:lpstr>otherEtf</vt:lpstr>
      <vt:lpstr>hedgeProtectionTrades</vt:lpstr>
      <vt:lpstr>Alternatives</vt:lpstr>
      <vt:lpstr>doomsdayTrades</vt:lpstr>
      <vt:lpstr>equalWeightedSectors</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Jeronimo De Abreu</dc:creator>
  <cp:lastModifiedBy>Jeronimo De Abreu</cp:lastModifiedBy>
  <dcterms:created xsi:type="dcterms:W3CDTF">2024-07-04T17:58:58Z</dcterms:created>
  <dcterms:modified xsi:type="dcterms:W3CDTF">2026-07-21T01:51:17Z</dcterms:modified>
</cp:coreProperties>
</file>